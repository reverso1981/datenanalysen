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zenarien" sheetId="1" state="visible" r:id="rId3"/>
    <sheet name="Annahmen" sheetId="2" state="visible" r:id="rId4"/>
    <sheet name="Raumprogramm" sheetId="3" state="visible" r:id="rId5"/>
    <sheet name="Investition" sheetId="4" state="visible" r:id="rId6"/>
    <sheet name="Umsatz" sheetId="5" state="visible" r:id="rId7"/>
    <sheet name="Betriebskosten" sheetId="6" state="visible" r:id="rId8"/>
    <sheet name="GuV_10J" sheetId="7" state="visible" r:id="rId9"/>
    <sheet name="Gemeinde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<sst xmlns="http://schemas.openxmlformats.org/spreadsheetml/2006/main" count="506" uniqueCount="379">
  <si>
    <t xml:space="preserve">Szenarienvergleich – Normaljahr</t>
  </si>
  <si>
    <t xml:space="preserve">Kennzahl</t>
  </si>
  <si>
    <t xml:space="preserve">Einheit</t>
  </si>
  <si>
    <t xml:space="preserve">pessimistisch</t>
  </si>
  <si>
    <t xml:space="preserve">Basis</t>
  </si>
  <si>
    <t xml:space="preserve">optimistisch</t>
  </si>
  <si>
    <t xml:space="preserve">Besuche pro Jahr</t>
  </si>
  <si>
    <t xml:space="preserve">Besuche</t>
  </si>
  <si>
    <t xml:space="preserve">Ø Besucher/Tag Hauptsaison</t>
  </si>
  <si>
    <t xml:space="preserve">Besucher</t>
  </si>
  <si>
    <t xml:space="preserve">Umsatz netto</t>
  </si>
  <si>
    <t xml:space="preserve">€</t>
  </si>
  <si>
    <t xml:space="preserve">Umsatz je Besuch</t>
  </si>
  <si>
    <t xml:space="preserve">Betriebskosten vor Pacht</t>
  </si>
  <si>
    <t xml:space="preserve">Pacht an Gemeinde-GmbH</t>
  </si>
  <si>
    <t xml:space="preserve">Betreiberergebnis (EBITDA)</t>
  </si>
  <si>
    <t xml:space="preserve">EBITDA-Marge</t>
  </si>
  <si>
    <t xml:space="preserve">%</t>
  </si>
  <si>
    <t xml:space="preserve">Break-even Besuche (Betreiber)</t>
  </si>
  <si>
    <t xml:space="preserve">Break-even in % der Planbesuche</t>
  </si>
  <si>
    <t xml:space="preserve">Überschuss Gemeinde-GmbH p. a. (Pacht – Rücklage – Verwaltung)</t>
  </si>
  <si>
    <t xml:space="preserve">Gemeinde-Investition (netto nach Förderung)</t>
  </si>
  <si>
    <t xml:space="preserve">Rückflussdauer aus Pacht (statisch)</t>
  </si>
  <si>
    <t xml:space="preserve">Jahre</t>
  </si>
  <si>
    <t xml:space="preserve">Tragbarer Pachtsatz (bei Ziel-Marge Betreiber)</t>
  </si>
  <si>
    <t xml:space="preserve">Tragbare Pacht p. a.</t>
  </si>
  <si>
    <t xml:space="preserve">Lesart: Die Pacht deckt Instandhaltung und einen Teil der Investition (Teil-Tilgung). Eine Vollrefinanzierung über die Pacht ist nicht vorgesehen – der Rest ist Standort- und Tourismusinfrastruktur der Gemeinden (Umwegrentabilität: Kommunalsteuer, Nächtigungen, Ganzjahresangebot).</t>
  </si>
  <si>
    <t xml:space="preserve">Seesauna Attersee – Annahmen (Rahmenkonzept, Stand Oktober 2026)</t>
  </si>
  <si>
    <t xml:space="preserve">Legende: blaue Zahlen = Eingaben (änderbar) · schwarz = Formeln · grün = Verweise auf andere Blätter · gelb hinterlegt = Schlüsselannahmen. Szenario in C4 wählen (1 = pessimistisch, 2 = Basis, 3 = optimistisch).</t>
  </si>
  <si>
    <t xml:space="preserve">Aktives Szenario (1/2/3)</t>
  </si>
  <si>
    <t xml:space="preserve">Key</t>
  </si>
  <si>
    <t xml:space="preserve">Annahme</t>
  </si>
  <si>
    <t xml:space="preserve">aktiv</t>
  </si>
  <si>
    <t xml:space="preserve">Quelle / Hinweis</t>
  </si>
  <si>
    <t xml:space="preserve">Kapazität &amp; Besuch</t>
  </si>
  <si>
    <t xml:space="preserve">tage_hs</t>
  </si>
  <si>
    <t xml:space="preserve">Öffnungstage Hauptsaison (Okt–Apr, abzgl. 7 Revisionstage)</t>
  </si>
  <si>
    <t xml:space="preserve">Tage</t>
  </si>
  <si>
    <t xml:space="preserve">Ganzjahresbetrieb lt. Grilling; 212 Tage Okt–Apr minus Revision</t>
  </si>
  <si>
    <t xml:space="preserve">tage_ns</t>
  </si>
  <si>
    <t xml:space="preserve">Öffnungstage Nebensaison (Mai–Sep, abzgl. 7 Tage)</t>
  </si>
  <si>
    <t xml:space="preserve">Im Sommer reduzierte Zeiten / Kombi mit Strandbad</t>
  </si>
  <si>
    <t xml:space="preserve">g_hs</t>
  </si>
  <si>
    <t xml:space="preserve">Ø Besucher pro Tag Hauptsaison</t>
  </si>
  <si>
    <t xml:space="preserve">Annahme; ~1,5 Belegungswechsel bei 120 Gleichzeitig-Plätzen</t>
  </si>
  <si>
    <t xml:space="preserve">g_ns</t>
  </si>
  <si>
    <t xml:space="preserve">Ø Besucher pro Tag Nebensaison</t>
  </si>
  <si>
    <t xml:space="preserve">Annahme; Sommer schwach, Seezugang + Strandbad-Kombi als Treiber</t>
  </si>
  <si>
    <t xml:space="preserve">kap</t>
  </si>
  <si>
    <t xml:space="preserve">Max. Besucher pro Tag (Spitzentag)</t>
  </si>
  <si>
    <t xml:space="preserve">120 gleichzeitig × ~2,5 Wechsel</t>
  </si>
  <si>
    <t xml:space="preserve">Preise (brutto, inkl. USt)</t>
  </si>
  <si>
    <t xml:space="preserve">p_tag</t>
  </si>
  <si>
    <t xml:space="preserve">Tageskarte</t>
  </si>
  <si>
    <t xml:space="preserve">Zielband 35–42 € lt. Grilling (gehobene Mitte)</t>
  </si>
  <si>
    <t xml:space="preserve">p_3h</t>
  </si>
  <si>
    <t xml:space="preserve">3-Stunden-Karte</t>
  </si>
  <si>
    <t xml:space="preserve">lt. Grilling ca. 25 €</t>
  </si>
  <si>
    <t xml:space="preserve">a_tag</t>
  </si>
  <si>
    <t xml:space="preserve">Anteil Tageskarten an Besuchen</t>
  </si>
  <si>
    <t xml:space="preserve">rabatt</t>
  </si>
  <si>
    <t xml:space="preserve">Ø Rabatt (Abos, Einheimischentarif, Hotelkontingente)</t>
  </si>
  <si>
    <t xml:space="preserve">Annahme; Einheimischentarif als Auflage der Gemeinden</t>
  </si>
  <si>
    <t xml:space="preserve">ust_e</t>
  </si>
  <si>
    <t xml:space="preserve">USt-Satz Eintritt</t>
  </si>
  <si>
    <t xml:space="preserve">Annahme ermäßigter Satz für Bäder/Saunen – steuerlich prüfen</t>
  </si>
  <si>
    <t xml:space="preserve">Gastronomie &amp; Zusatzerlöse</t>
  </si>
  <si>
    <t xml:space="preserve">g_kopf</t>
  </si>
  <si>
    <t xml:space="preserve">Gastro-Umsatz pro Besucher (brutto)</t>
  </si>
  <si>
    <t xml:space="preserve">Branchenüblich 8–15 € (Bistro, kleine Karte)</t>
  </si>
  <si>
    <t xml:space="preserve">ust_g</t>
  </si>
  <si>
    <t xml:space="preserve">Ø USt-Satz Gastro (Mix 10 %/20 %)</t>
  </si>
  <si>
    <t xml:space="preserve">Speisen 10 %, Getränke 20 %</t>
  </si>
  <si>
    <t xml:space="preserve">we_g</t>
  </si>
  <si>
    <t xml:space="preserve">Wareneinsatzquote Gastro</t>
  </si>
  <si>
    <t xml:space="preserve">Branchenwert Bistro 28–35 %</t>
  </si>
  <si>
    <t xml:space="preserve">kiosk</t>
  </si>
  <si>
    <t xml:space="preserve">Strandbad-Kiosk Sommer (Umsatz netto)</t>
  </si>
  <si>
    <t xml:space="preserve">€/Jahr</t>
  </si>
  <si>
    <t xml:space="preserve">Annahme; Betreiber übernimmt Kiosk Mai–Sep</t>
  </si>
  <si>
    <t xml:space="preserve">we_k</t>
  </si>
  <si>
    <t xml:space="preserve">Wareneinsatzquote Kiosk</t>
  </si>
  <si>
    <t xml:space="preserve">m_anz</t>
  </si>
  <si>
    <t xml:space="preserve">Massagebehandlungen pro Jahr (2 Räume)</t>
  </si>
  <si>
    <t xml:space="preserve">Stück</t>
  </si>
  <si>
    <t xml:space="preserve">Annahme; freie Masseur:innen</t>
  </si>
  <si>
    <t xml:space="preserve">m_preis</t>
  </si>
  <si>
    <t xml:space="preserve">Ø Preis Massage (brutto)</t>
  </si>
  <si>
    <t xml:space="preserve">ust_m</t>
  </si>
  <si>
    <t xml:space="preserve">USt-Satz Massage</t>
  </si>
  <si>
    <t xml:space="preserve">Normalsteuersatz</t>
  </si>
  <si>
    <t xml:space="preserve">m_prov</t>
  </si>
  <si>
    <t xml:space="preserve">Provision / Raummiete an Betreiber</t>
  </si>
  <si>
    <t xml:space="preserve">Annahme; Anteil am Netto-Behandlungsumsatz</t>
  </si>
  <si>
    <t xml:space="preserve">ev_anz</t>
  </si>
  <si>
    <t xml:space="preserve">Events &amp; Exklusivbuchungen pro Jahr</t>
  </si>
  <si>
    <t xml:space="preserve">Vollmond-/Themenaufgüsse, Firmen-Buyouts</t>
  </si>
  <si>
    <t xml:space="preserve">ev_erl</t>
  </si>
  <si>
    <t xml:space="preserve">Ø Zusatzerlös je Event (netto)</t>
  </si>
  <si>
    <t xml:space="preserve">Betriebskosten Betreiber</t>
  </si>
  <si>
    <t xml:space="preserve">fte</t>
  </si>
  <si>
    <t xml:space="preserve">Personal (Vollzeitäquivalente)</t>
  </si>
  <si>
    <t xml:space="preserve">VZÄ</t>
  </si>
  <si>
    <t xml:space="preserve">Kassa 4, Saunameister:innen 5, Reinigung 4, Gastro 5, Leitung/Technik 2</t>
  </si>
  <si>
    <t xml:space="preserve">k_fte</t>
  </si>
  <si>
    <t xml:space="preserve">Personalkosten je VZÄ (inkl. Lohnnebenkosten)</t>
  </si>
  <si>
    <t xml:space="preserve">Annahme KV Freizeitbetriebe/Gastro OÖ inkl. LNK</t>
  </si>
  <si>
    <t xml:space="preserve">energie</t>
  </si>
  <si>
    <t xml:space="preserve">Energiekosten (Seethermie-WP + PV + Holz)</t>
  </si>
  <si>
    <t xml:space="preserve">Annahme; ohne Seethermie/PV eher 300–400 Tsd. €</t>
  </si>
  <si>
    <t xml:space="preserve">wasser</t>
  </si>
  <si>
    <t xml:space="preserve">Wasser / Abwasser</t>
  </si>
  <si>
    <t xml:space="preserve">waesche</t>
  </si>
  <si>
    <t xml:space="preserve">Wäsche, Reinigungs- &amp; Verbrauchsmaterial je Besuch</t>
  </si>
  <si>
    <t xml:space="preserve">mkt</t>
  </si>
  <si>
    <t xml:space="preserve">Marketing (in % vom Umsatz)</t>
  </si>
  <si>
    <t xml:space="preserve">wart</t>
  </si>
  <si>
    <t xml:space="preserve">Laufende Wartung Betreiber (in % vom Umsatz)</t>
  </si>
  <si>
    <t xml:space="preserve">Kleinreparaturen; große Instandhaltung = Gemeinde-GmbH</t>
  </si>
  <si>
    <t xml:space="preserve">verw</t>
  </si>
  <si>
    <t xml:space="preserve">Verwaltung, Versicherung, IT, Beratung</t>
  </si>
  <si>
    <t xml:space="preserve">Pachtvertrag (Gemeinde-GmbH → Betreiber)</t>
  </si>
  <si>
    <t xml:space="preserve">p_satz</t>
  </si>
  <si>
    <t xml:space="preserve">Umsatzpacht (in % vom Nettoumsatz)</t>
  </si>
  <si>
    <t xml:space="preserve">Zielband 8–12 % lt. Grilling</t>
  </si>
  <si>
    <t xml:space="preserve">p_min</t>
  </si>
  <si>
    <t xml:space="preserve">Mindestpacht</t>
  </si>
  <si>
    <t xml:space="preserve">Annahme; Absicherung der Gemeinden</t>
  </si>
  <si>
    <t xml:space="preserve">ziel_m</t>
  </si>
  <si>
    <t xml:space="preserve">Ziel-EBITDA-Marge Betreiber (Prüfgröße tragbare Pacht)</t>
  </si>
  <si>
    <t xml:space="preserve">Untergrenze, damit ein privater Betreiber Risiko übernimmt</t>
  </si>
  <si>
    <t xml:space="preserve">Gemeinde-Errichtungs-GmbH</t>
  </si>
  <si>
    <t xml:space="preserve">rl</t>
  </si>
  <si>
    <t xml:space="preserve">Instandhaltungsrücklage (in % der Bauwerkskosten KG 2–4)</t>
  </si>
  <si>
    <t xml:space="preserve">Faustwert 0,8–1,2 % p. a.</t>
  </si>
  <si>
    <t xml:space="preserve">g_verw</t>
  </si>
  <si>
    <t xml:space="preserve">Verwaltung Errichtungs-GmbH</t>
  </si>
  <si>
    <t xml:space="preserve">Buchhaltung, Prüfung, Versicherung Gebäude</t>
  </si>
  <si>
    <t xml:space="preserve">komm</t>
  </si>
  <si>
    <t xml:space="preserve">Kommunalsteuer (in % der Lohnsumme)</t>
  </si>
  <si>
    <t xml:space="preserve">KommStG § 9; fließt an Standortgemeinde</t>
  </si>
  <si>
    <t xml:space="preserve">lohnant</t>
  </si>
  <si>
    <t xml:space="preserve">Anteil Bruttolohn an Personalkosten</t>
  </si>
  <si>
    <t xml:space="preserve">Annahme; Rest = Dienstgeberabgaben</t>
  </si>
  <si>
    <t xml:space="preserve">Entwicklung</t>
  </si>
  <si>
    <t xml:space="preserve">start</t>
  </si>
  <si>
    <t xml:space="preserve">Eröffnungsjahr</t>
  </si>
  <si>
    <t xml:space="preserve">Jahr</t>
  </si>
  <si>
    <t xml:space="preserve">Annahme: 2027 Planung/Genehmigung, 2028 Bau</t>
  </si>
  <si>
    <t xml:space="preserve">hl1</t>
  </si>
  <si>
    <t xml:space="preserve">Hochlauf Jahr 1 (in % des Normaljahres)</t>
  </si>
  <si>
    <t xml:space="preserve">hl2</t>
  </si>
  <si>
    <t xml:space="preserve">Hochlauf Jahr 2</t>
  </si>
  <si>
    <t xml:space="preserve">inf_p</t>
  </si>
  <si>
    <t xml:space="preserve">Preissteigerung p. a.</t>
  </si>
  <si>
    <t xml:space="preserve">inf_k</t>
  </si>
  <si>
    <t xml:space="preserve">Kostensteigerung p. a.</t>
  </si>
  <si>
    <t xml:space="preserve">Raumprogramm (Nutzflächen)</t>
  </si>
  <si>
    <t xml:space="preserve">Bereich</t>
  </si>
  <si>
    <t xml:space="preserve">Nutzfläche (m²)</t>
  </si>
  <si>
    <t xml:space="preserve">Plätze</t>
  </si>
  <si>
    <t xml:space="preserve">Erläuterung</t>
  </si>
  <si>
    <t xml:space="preserve">Eingang, Kassa, Shop-Ecke</t>
  </si>
  <si>
    <t xml:space="preserve">Zutrittssystem mit Chip-Armband, Gutscheinverkauf</t>
  </si>
  <si>
    <t xml:space="preserve">Garderobe &amp; Umkleiden (Spinde)</t>
  </si>
  <si>
    <t xml:space="preserve">180 Spinde für 120 Gleichzeitig-Gäste + Wechsel</t>
  </si>
  <si>
    <t xml:space="preserve">Sanitär &amp; Duschen</t>
  </si>
  <si>
    <t xml:space="preserve">Getrennte Duschzonen, Saunavorduschen</t>
  </si>
  <si>
    <t xml:space="preserve">Panorama-Aufgusssauna 90 °C</t>
  </si>
  <si>
    <t xml:space="preserve">Event-Aufgüsse, Glasfront Seeblick</t>
  </si>
  <si>
    <t xml:space="preserve">Bio-Sauna 60 °C</t>
  </si>
  <si>
    <t xml:space="preserve">Sanfte Sauna, Farblicht</t>
  </si>
  <si>
    <t xml:space="preserve">Dampfbad</t>
  </si>
  <si>
    <t xml:space="preserve">Inkl. Technikraum Dampferzeuger</t>
  </si>
  <si>
    <t xml:space="preserve">Holzofen-Saunahaus am Steg (außen)</t>
  </si>
  <si>
    <t xml:space="preserve">Separates Häuschen, direkter Seezugang</t>
  </si>
  <si>
    <t xml:space="preserve">Abkühlbereich innen (Tauchbecken, Kneipp, Schwallduschen)</t>
  </si>
  <si>
    <t xml:space="preserve">Tauchbecken ca. 6 m²</t>
  </si>
  <si>
    <t xml:space="preserve">Ruheraum (Stille)</t>
  </si>
  <si>
    <t xml:space="preserve">50 Liegen à ~4 m², Seeblick</t>
  </si>
  <si>
    <t xml:space="preserve">Kommunikationsraum (Liegen, Gespräche erlaubt)</t>
  </si>
  <si>
    <t xml:space="preserve">50 Liegen, Kamin, Bibliothek</t>
  </si>
  <si>
    <t xml:space="preserve">Bistro (Gastraum + Theke)</t>
  </si>
  <si>
    <t xml:space="preserve">Im Bademantel; Terrasse saisonal zusätzlich</t>
  </si>
  <si>
    <t xml:space="preserve">Bistro-Küche (Regenerierküche) &amp; Lager</t>
  </si>
  <si>
    <t xml:space="preserve">Kleine Karte, 3–4 warme Gerichte</t>
  </si>
  <si>
    <t xml:space="preserve">Massage-/Behandlungsräume</t>
  </si>
  <si>
    <t xml:space="preserve">2 Räume à 20 m²</t>
  </si>
  <si>
    <t xml:space="preserve">Personal, Büro, Sozialräume</t>
  </si>
  <si>
    <t xml:space="preserve">Haustechnik, Wäsche, Lager</t>
  </si>
  <si>
    <t xml:space="preserve">Wärmepumpe, Lüftung, Wasseraufbereitung</t>
  </si>
  <si>
    <t xml:space="preserve">Verkehrsflächen</t>
  </si>
  <si>
    <t xml:space="preserve">Gänge, Treppen</t>
  </si>
  <si>
    <t xml:space="preserve">Summe Nutzfläche (NF)</t>
  </si>
  <si>
    <t xml:space="preserve">Faktor BGF / NF</t>
  </si>
  <si>
    <t xml:space="preserve">Annahme kompakter Holzbau (Wände, Schächte)</t>
  </si>
  <si>
    <t xml:space="preserve">Brutto-Grundfläche (BGF)</t>
  </si>
  <si>
    <t xml:space="preserve">Saunaplätze gesamt (Kontrolle)</t>
  </si>
  <si>
    <t xml:space="preserve">Liegeplätze Ruhe + Kommunikation</t>
  </si>
  <si>
    <t xml:space="preserve">Einmalige Investition (netto, exkl. USt – Vorsteuerabzug über Vermietung der Gemeinde-GmbH)</t>
  </si>
  <si>
    <t xml:space="preserve">KG</t>
  </si>
  <si>
    <t xml:space="preserve">Position</t>
  </si>
  <si>
    <t xml:space="preserve">Menge</t>
  </si>
  <si>
    <t xml:space="preserve">Einheitspreis (€)</t>
  </si>
  <si>
    <t xml:space="preserve">Summe (€)</t>
  </si>
  <si>
    <t xml:space="preserve">Hinweis</t>
  </si>
  <si>
    <t xml:space="preserve">1</t>
  </si>
  <si>
    <t xml:space="preserve">Aufschließung</t>
  </si>
  <si>
    <t xml:space="preserve">Erschließung, Parkplatzanpassung, Leitungen</t>
  </si>
  <si>
    <t xml:space="preserve">psch</t>
  </si>
  <si>
    <t xml:space="preserve">Strandbad-Infrastruktur teilweise vorhanden</t>
  </si>
  <si>
    <t xml:space="preserve">Abbruch / Anpassung Bestand Strandbad</t>
  </si>
  <si>
    <t xml:space="preserve">Summe KG 1</t>
  </si>
  <si>
    <t xml:space="preserve">2</t>
  </si>
  <si>
    <t xml:space="preserve">Bauwerk – Rohbau</t>
  </si>
  <si>
    <t xml:space="preserve">Holzbau-Rohbau inkl. Fundierung, Dach</t>
  </si>
  <si>
    <t xml:space="preserve">m²</t>
  </si>
  <si>
    <t xml:space="preserve">Regionaler Holzbau (CLT/Holzrahmen)</t>
  </si>
  <si>
    <t xml:space="preserve">Summe KG 2</t>
  </si>
  <si>
    <t xml:space="preserve">3</t>
  </si>
  <si>
    <t xml:space="preserve">Bauwerk – Technik</t>
  </si>
  <si>
    <t xml:space="preserve">Haustechnik HLS, Lüftung, Elektro</t>
  </si>
  <si>
    <t xml:space="preserve">Hohe Lüftungs-/Feuchteanforderungen</t>
  </si>
  <si>
    <t xml:space="preserve">Seewasser-Wärmepumpe inkl. Entnahme/Rückgabe</t>
  </si>
  <si>
    <t xml:space="preserve">Wasserrechtliche Bewilligung nötig</t>
  </si>
  <si>
    <t xml:space="preserve">Photovoltaik</t>
  </si>
  <si>
    <t xml:space="preserve">kWp</t>
  </si>
  <si>
    <t xml:space="preserve">Dachfläche ca. 800 m²</t>
  </si>
  <si>
    <t xml:space="preserve">Wasseraufbereitung Tauchbecken/Whirlpool</t>
  </si>
  <si>
    <t xml:space="preserve">ÖNORM M 6215 / Bäderhygienegesetz</t>
  </si>
  <si>
    <t xml:space="preserve">Summe KG 3</t>
  </si>
  <si>
    <t xml:space="preserve">4</t>
  </si>
  <si>
    <t xml:space="preserve">Bauwerk – Ausbau</t>
  </si>
  <si>
    <t xml:space="preserve">Innenausbau, Glasfronten, Oberflächen</t>
  </si>
  <si>
    <t xml:space="preserve">Gehobener Standard, große Seeverglasung</t>
  </si>
  <si>
    <t xml:space="preserve">Panorama-Aufgusssauna (35 Plätze)</t>
  </si>
  <si>
    <t xml:space="preserve">Stk</t>
  </si>
  <si>
    <t xml:space="preserve">Inkl. Ofen, Steuerung, Glasfront</t>
  </si>
  <si>
    <t xml:space="preserve">Bio-Sauna (12 Plätze)</t>
  </si>
  <si>
    <t xml:space="preserve">Dampfbad (10 Plätze)</t>
  </si>
  <si>
    <t xml:space="preserve">Inkl. Dampferzeuger, Fliesen/Mineralwerkstoff</t>
  </si>
  <si>
    <t xml:space="preserve">Holzofen-Saunahaus am Steg (15 Plätze)</t>
  </si>
  <si>
    <t xml:space="preserve">Massivholz, holzbefeuert, Funkenschutz</t>
  </si>
  <si>
    <t xml:space="preserve">Tauchbecken innen</t>
  </si>
  <si>
    <t xml:space="preserve">Außen-Whirlpool (ca. 12 Personen)</t>
  </si>
  <si>
    <t xml:space="preserve">Beheizt über Wärmepumpe</t>
  </si>
  <si>
    <t xml:space="preserve">Summe KG 4</t>
  </si>
  <si>
    <t xml:space="preserve">5</t>
  </si>
  <si>
    <t xml:space="preserve">Einrichtung</t>
  </si>
  <si>
    <t xml:space="preserve">Liegen (Ruhe, Kommunikation, Garten)</t>
  </si>
  <si>
    <t xml:space="preserve">Hochwertige Relaxliegen</t>
  </si>
  <si>
    <t xml:space="preserve">Gastro-Küche &amp; Theke</t>
  </si>
  <si>
    <t xml:space="preserve">Regenerierküche, Kühlung, Kaffeetechnik</t>
  </si>
  <si>
    <t xml:space="preserve">Möblierung, Deko, Leitsystem</t>
  </si>
  <si>
    <t xml:space="preserve">Kassen-/Zutrittssystem, Spinde, IT</t>
  </si>
  <si>
    <t xml:space="preserve">Chip-Armband, Online-Ticketing</t>
  </si>
  <si>
    <t xml:space="preserve">Summe KG 5</t>
  </si>
  <si>
    <t xml:space="preserve">6</t>
  </si>
  <si>
    <t xml:space="preserve">Außenanlagen</t>
  </si>
  <si>
    <t xml:space="preserve">Saunagarten, Sichtschutz zum Strandbad, Wege</t>
  </si>
  <si>
    <t xml:space="preserve">Textilfrei → Sichtschutz zwingend</t>
  </si>
  <si>
    <t xml:space="preserve">Steg / Seezugang (ganzjährig, Leiter, Beleuchtung)</t>
  </si>
  <si>
    <t xml:space="preserve">Wasserrecht, Schifffahrt, Naturschutz</t>
  </si>
  <si>
    <t xml:space="preserve">Summe KG 6</t>
  </si>
  <si>
    <t xml:space="preserve">Zwischensumme KG 1–6</t>
  </si>
  <si>
    <t xml:space="preserve">7</t>
  </si>
  <si>
    <t xml:space="preserve">Planungsleistungen (Architektur, Fachplanung, ÖBA)</t>
  </si>
  <si>
    <t xml:space="preserve">Anteil an KG 1–6; Richtwert 14–18 %</t>
  </si>
  <si>
    <t xml:space="preserve">8</t>
  </si>
  <si>
    <t xml:space="preserve">Nebenleistungen (Gutachten, Genehmigungen, Projektsteuerung)</t>
  </si>
  <si>
    <t xml:space="preserve">Wasserrecht, Naturschutz, Bodengutachten, Bauherrenvertretung</t>
  </si>
  <si>
    <t xml:space="preserve">9</t>
  </si>
  <si>
    <t xml:space="preserve">Reserve (Unvorhergesehenes, Indexierung)</t>
  </si>
  <si>
    <t xml:space="preserve">Konzeptphase: 10–15 % üblich</t>
  </si>
  <si>
    <t xml:space="preserve">GESAMTINVESTITION netto</t>
  </si>
  <si>
    <t xml:space="preserve">je m² BGF</t>
  </si>
  <si>
    <t xml:space="preserve">je Gleichzeitig-Gast (120)</t>
  </si>
  <si>
    <t xml:space="preserve">Bauwerkskosten KG 2–4 (Basis Instandhaltungsrücklage)</t>
  </si>
  <si>
    <t xml:space="preserve">Bauwerkskosten KG 2–4 je m² BGF</t>
  </si>
  <si>
    <t xml:space="preserve">Förderungen (Annahmen – mit Fördergebern abzuklären)</t>
  </si>
  <si>
    <t xml:space="preserve">UFI/KPC Umweltförderung (Seethermie + PV)</t>
  </si>
  <si>
    <t xml:space="preserve">Quote auf förderfähige Kosten Energieanlage; Annahme</t>
  </si>
  <si>
    <t xml:space="preserve">Land OÖ (Tourismusinfrastruktur / Bedarfszuweisungen)</t>
  </si>
  <si>
    <t xml:space="preserve">Größter Hebel – politisch mit Land OÖ zu verhandeln; Annahme</t>
  </si>
  <si>
    <t xml:space="preserve">LEADER (Region Vöckla-Ager / Attersee)</t>
  </si>
  <si>
    <t xml:space="preserve">Pauschale Annahme; LEADER-Förderungen sind gedeckelt</t>
  </si>
  <si>
    <t xml:space="preserve">Summe Förderungen</t>
  </si>
  <si>
    <t xml:space="preserve">VON GEMEINDEN + TVB ZU TRAGEN (einmalig, netto)</t>
  </si>
  <si>
    <t xml:space="preserve">Förderquote</t>
  </si>
  <si>
    <t xml:space="preserve">Umsatz Betreiber – Normaljahr (ab Jahr 3, Preisbasis Eröffnung, netto)</t>
  </si>
  <si>
    <t xml:space="preserve">Besuche Hauptsaison</t>
  </si>
  <si>
    <t xml:space="preserve">Besuche Nebensaison</t>
  </si>
  <si>
    <t xml:space="preserve">Besuche gesamt</t>
  </si>
  <si>
    <t xml:space="preserve">Auslastung Hauptsaison (Ø / Spitzentag)</t>
  </si>
  <si>
    <t xml:space="preserve">Ø Eintritt je Besuch brutto</t>
  </si>
  <si>
    <t xml:space="preserve">Ø Eintritt je Besuch netto</t>
  </si>
  <si>
    <t xml:space="preserve">Eintrittserlöse</t>
  </si>
  <si>
    <t xml:space="preserve">Gastronomie (Bistro)</t>
  </si>
  <si>
    <t xml:space="preserve">Strandbad-Kiosk (Sommer)</t>
  </si>
  <si>
    <t xml:space="preserve">Massage (Provision/Raummiete)</t>
  </si>
  <si>
    <t xml:space="preserve">Events &amp; Exklusivbuchungen</t>
  </si>
  <si>
    <t xml:space="preserve">UMSATZ GESAMT (netto)</t>
  </si>
  <si>
    <t xml:space="preserve">Betriebskosten &amp; Ergebnis Betreiber – Normaljahr (netto)</t>
  </si>
  <si>
    <t xml:space="preserve">Art</t>
  </si>
  <si>
    <t xml:space="preserve">Wareneinsatz Gastro</t>
  </si>
  <si>
    <t xml:space="preserve">variabel</t>
  </si>
  <si>
    <t xml:space="preserve">Wareneinsatz Kiosk</t>
  </si>
  <si>
    <t xml:space="preserve">Personal</t>
  </si>
  <si>
    <t xml:space="preserve">fix</t>
  </si>
  <si>
    <t xml:space="preserve">Energie</t>
  </si>
  <si>
    <t xml:space="preserve">Wäsche, Reinigung, Verbrauchsmaterial</t>
  </si>
  <si>
    <t xml:space="preserve">Marketing</t>
  </si>
  <si>
    <t xml:space="preserve">Laufende Wartung</t>
  </si>
  <si>
    <t xml:space="preserve">Verwaltung, Versicherung, IT</t>
  </si>
  <si>
    <t xml:space="preserve">BETRIEBSKOSTEN vor Pacht</t>
  </si>
  <si>
    <t xml:space="preserve">Ergebnis vor Pacht (EBITDAR)</t>
  </si>
  <si>
    <t xml:space="preserve">BETREIBERERGEBNIS nach Pacht (EBITDA)</t>
  </si>
  <si>
    <t xml:space="preserve">Personalkostenquote</t>
  </si>
  <si>
    <t xml:space="preserve">Energiekostenquote</t>
  </si>
  <si>
    <t xml:space="preserve">Pachtquote</t>
  </si>
  <si>
    <t xml:space="preserve">Fixkosten (Personal, Energie, Wasser, Verwaltung)</t>
  </si>
  <si>
    <t xml:space="preserve">Deckungsbeitrag je Besuch (nach Umsatzpacht)</t>
  </si>
  <si>
    <t xml:space="preserve">Break-even Besuche pro Jahr (Betreiber)</t>
  </si>
  <si>
    <t xml:space="preserve">Break-even in % der geplanten Besuche</t>
  </si>
  <si>
    <t xml:space="preserve">Betreiber-GuV &amp; Pachtfluss – 10 Jahre (aktives Szenario, nominal)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</si>
  <si>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</si>
  <si>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</si>
  <si>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</si>
  <si>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</si>
  <si>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</si>
  <si>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</si>
  <si>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</si>
  <si>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J8</t>
  </si>
  <si>
    <t xml:space="preserve">J9</t>
  </si>
  <si>
    <t xml:space="preserve">J10</t>
  </si>
  <si>
    <t xml:space="preserve">Kalenderjahr</t>
  </si>
  <si>
    <t xml:space="preserve">Hochlauf-Faktor</t>
  </si>
  <si>
    <t xml:space="preserve">Preisindex</t>
  </si>
  <si>
    <t xml:space="preserve">Kostenindex</t>
  </si>
  <si>
    <t xml:space="preserve">Variable Kosten (Wareneinsatz, Wäsche, Mkt, Wartung)</t>
  </si>
  <si>
    <t xml:space="preserve">Ergebnis vor Pacht</t>
  </si>
  <si>
    <t xml:space="preserve">Pacht</t>
  </si>
  <si>
    <t xml:space="preserve">Betreiberergebnis kumuliert</t>
  </si>
  <si>
    <t xml:space="preserve">Pachteinnahme</t>
  </si>
  <si>
    <t xml:space="preserve">Instandhaltungsrücklage</t>
  </si>
  <si>
    <t xml:space="preserve">Verwaltung GmbH</t>
  </si>
  <si>
    <t xml:space="preserve">Überschuss für Rückführung an Gemeinden</t>
  </si>
  <si>
    <t xml:space="preserve">Rückfluss kumuliert</t>
  </si>
  <si>
    <t xml:space="preserve">Kommunalsteuer an Standortgemeinde (zusätzlich)</t>
  </si>
  <si>
    <t xml:space="preserve">Summe Rückfluss 10 Jahre</t>
  </si>
  <si>
    <t xml:space="preserve">Rückflussquote 10 J. auf Gemeinde-Investition</t>
  </si>
  <si>
    <t xml:space="preserve">Aufteilung der einmaligen Investition auf Gemeinden &amp; TVB</t>
  </si>
  <si>
    <t xml:space="preserve">Einwohner- und Nächtigungszahlen sind GROBE PLATZHALTER und vor Verwendung mit Statistik Austria (Bevölkerung 1.1., Tourismusstatistik) bzw. Land OÖ zu ersetzen. Standortgemeinde mit 'x' markieren.</t>
  </si>
  <si>
    <t xml:space="preserve">Zu verteilende Investition (netto nach Förderung)</t>
  </si>
  <si>
    <t xml:space="preserve">Anteil Tourismusverband Attersee-Attergau</t>
  </si>
  <si>
    <t xml:space="preserve">Begründung: TVB profitiert über Nächtigungen/Angebot</t>
  </si>
  <si>
    <t xml:space="preserve">Bonus-Anteil Standortgemeinde</t>
  </si>
  <si>
    <t xml:space="preserve">Begründung: Kommunalsteuer, Frequenz, Aufwertung Strandbad</t>
  </si>
  <si>
    <t xml:space="preserve">Gewichtung Einwohner (Rest = Nächtigungen)</t>
  </si>
  <si>
    <t xml:space="preserve">Gemeinde</t>
  </si>
  <si>
    <t xml:space="preserve">Einwohner</t>
  </si>
  <si>
    <t xml:space="preserve">Nächtigungen/Jahr</t>
  </si>
  <si>
    <t xml:space="preserve">Standort (x)</t>
  </si>
  <si>
    <t xml:space="preserve">Anteil</t>
  </si>
  <si>
    <t xml:space="preserve">Einmalbetrag (€)</t>
  </si>
  <si>
    <t xml:space="preserve">Ø Pachtrückfluss p. a. (€)</t>
  </si>
  <si>
    <t xml:space="preserve">€ je Einwohner</t>
  </si>
  <si>
    <t xml:space="preserve">Seewalchen am Attersee</t>
  </si>
  <si>
    <t xml:space="preserve">Schörfling am Attersee</t>
  </si>
  <si>
    <t xml:space="preserve">Attersee am Attersee</t>
  </si>
  <si>
    <t xml:space="preserve">x</t>
  </si>
  <si>
    <t xml:space="preserve">Weyregg am Attersee</t>
  </si>
  <si>
    <t xml:space="preserve">Unterach am Attersee</t>
  </si>
  <si>
    <t xml:space="preserve">Nußdorf am Attersee</t>
  </si>
  <si>
    <t xml:space="preserve">Steinbach am Attersee</t>
  </si>
  <si>
    <t xml:space="preserve">Summe Gemeinden</t>
  </si>
  <si>
    <t xml:space="preserve">Tourismusverband Attersee-Attergau</t>
  </si>
  <si>
    <t xml:space="preserve">Kontrolle: Summe = zu verteilende Investition</t>
  </si>
  <si>
    <t xml:space="preserve">Pachtrückfluss: Ø-Überschuss der Gemeinde-GmbH (GuV_10J) nach Gemeinde-Anteil verteilt; TVB-Anteil ohne Rückfluss angenommen (Zuschuss).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</si>
</sst>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#,##0.00;\(#,##0.00\);\-"/>
    <numFmt numFmtId="167" formatCode="0.0%;\(0.0%\);\-"/>
    <numFmt numFmtId="168" formatCode="0.0&quot; J.&quot;"/>
    <numFmt numFmtId="169" formatCode="0"/>
    <numFmt numFmtId="170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5" min="3" style="0" width="17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4" t="n">
        <f aca="false">Umsatz!C6</f>
        <v>36000</v>
      </c>
      <c r="D4" s="4" t="n">
        <f aca="false">Umsatz!D6</f>
        <v>47120</v>
      </c>
      <c r="E4" s="4" t="n">
        <f aca="false">Umsatz!E6</f>
        <v>57215</v>
      </c>
    </row>
    <row r="5" customFormat="false" ht="15" hidden="false" customHeight="false" outlineLevel="0" collapsed="false">
      <c r="A5" s="3" t="s">
        <v>8</v>
      </c>
      <c r="B5" s="3" t="s">
        <v>9</v>
      </c>
      <c r="C5" s="4" t="n">
        <f aca="false">Annahmen!$C$10</f>
        <v>140</v>
      </c>
      <c r="D5" s="4" t="n">
        <f aca="false">Annahmen!$D$10</f>
        <v>180</v>
      </c>
      <c r="E5" s="4" t="n">
        <f aca="false">Annahmen!$E$10</f>
        <v>215</v>
      </c>
    </row>
    <row r="6" customFormat="false" ht="15" hidden="false" customHeight="false" outlineLevel="0" collapsed="false">
      <c r="A6" s="3" t="s">
        <v>10</v>
      </c>
      <c r="B6" s="3" t="s">
        <v>11</v>
      </c>
      <c r="C6" s="4" t="n">
        <f aca="false">Umsatz!C16</f>
        <v>1315174.15352059</v>
      </c>
      <c r="D6" s="4" t="n">
        <f aca="false">Umsatz!D16</f>
        <v>1934607.64755675</v>
      </c>
      <c r="E6" s="4" t="n">
        <f aca="false">Umsatz!E16</f>
        <v>2593479.21796845</v>
      </c>
    </row>
    <row r="7" customFormat="false" ht="15" hidden="false" customHeight="false" outlineLevel="0" collapsed="false">
      <c r="A7" s="3" t="s">
        <v>12</v>
      </c>
      <c r="B7" s="3" t="s">
        <v>11</v>
      </c>
      <c r="C7" s="5" t="n">
        <f aca="false">Umsatz!C17</f>
        <v>36.5326153755718</v>
      </c>
      <c r="D7" s="5" t="n">
        <f aca="false">Umsatz!D17</f>
        <v>41.0570383607121</v>
      </c>
      <c r="E7" s="5" t="n">
        <f aca="false">Umsatz!E17</f>
        <v>45.3286588826086</v>
      </c>
    </row>
    <row r="8" customFormat="false" ht="15" hidden="false" customHeight="false" outlineLevel="0" collapsed="false">
      <c r="A8" s="3" t="s">
        <v>13</v>
      </c>
      <c r="B8" s="3" t="s">
        <v>11</v>
      </c>
      <c r="C8" s="4" t="n">
        <f aca="false">Betriebskosten!C13</f>
        <v>1723301.75355906</v>
      </c>
      <c r="D8" s="4" t="n">
        <f aca="false">Betriebskosten!D13</f>
        <v>1752636.11102732</v>
      </c>
      <c r="E8" s="4" t="n">
        <f aca="false">Betriebskosten!E13</f>
        <v>1859371.49220854</v>
      </c>
    </row>
    <row r="9" customFormat="false" ht="15" hidden="false" customHeight="false" outlineLevel="0" collapsed="false">
      <c r="A9" s="3" t="s">
        <v>14</v>
      </c>
      <c r="B9" s="3" t="s">
        <v>11</v>
      </c>
      <c r="C9" s="4" t="n">
        <f aca="false">Betriebskosten!C15</f>
        <v>150000</v>
      </c>
      <c r="D9" s="4" t="n">
        <f aca="false">Betriebskosten!D15</f>
        <v>193460.764755675</v>
      </c>
      <c r="E9" s="4" t="n">
        <f aca="false">Betriebskosten!E15</f>
        <v>259347.921796845</v>
      </c>
    </row>
    <row r="10" customFormat="false" ht="15" hidden="false" customHeight="false" outlineLevel="0" collapsed="false">
      <c r="A10" s="3" t="s">
        <v>15</v>
      </c>
      <c r="B10" s="3" t="s">
        <v>11</v>
      </c>
      <c r="C10" s="4" t="n">
        <f aca="false">Betriebskosten!C16</f>
        <v>-558127.600038476</v>
      </c>
      <c r="D10" s="4" t="n">
        <f aca="false">Betriebskosten!D16</f>
        <v>-11489.2282262407</v>
      </c>
      <c r="E10" s="4" t="n">
        <f aca="false">Betriebskosten!E16</f>
        <v>474759.803963063</v>
      </c>
    </row>
    <row r="11" customFormat="false" ht="15" hidden="false" customHeight="false" outlineLevel="0" collapsed="false">
      <c r="A11" s="3" t="s">
        <v>16</v>
      </c>
      <c r="B11" s="3" t="s">
        <v>17</v>
      </c>
      <c r="C11" s="6" t="n">
        <f aca="false">Betriebskosten!C18</f>
        <v>-0.424375432367209</v>
      </c>
      <c r="D11" s="6" t="n">
        <f aca="false">Betriebskosten!D18</f>
        <v>-0.00593878983201096</v>
      </c>
      <c r="E11" s="6" t="n">
        <f aca="false">Betriebskosten!E18</f>
        <v>0.183059035396843</v>
      </c>
    </row>
    <row r="12" customFormat="false" ht="15" hidden="false" customHeight="false" outlineLevel="0" collapsed="false">
      <c r="A12" s="3" t="s">
        <v>18</v>
      </c>
      <c r="B12" s="3" t="s">
        <v>7</v>
      </c>
      <c r="C12" s="4" t="n">
        <f aca="false">Betriebskosten!C24</f>
        <v>57649.426244079</v>
      </c>
      <c r="D12" s="4" t="n">
        <f aca="false">Betriebskosten!D24</f>
        <v>47525.9752987974</v>
      </c>
      <c r="E12" s="4" t="n">
        <f aca="false">Betriebskosten!E24</f>
        <v>42122.2181054755</v>
      </c>
    </row>
    <row r="13" customFormat="false" ht="15" hidden="false" customHeight="false" outlineLevel="0" collapsed="false">
      <c r="A13" s="3" t="s">
        <v>19</v>
      </c>
      <c r="B13" s="3" t="s">
        <v>17</v>
      </c>
      <c r="C13" s="6" t="n">
        <f aca="false">Betriebskosten!C25</f>
        <v>1.60137295122442</v>
      </c>
      <c r="D13" s="6" t="n">
        <f aca="false">Betriebskosten!D25</f>
        <v>1.00861577459248</v>
      </c>
      <c r="E13" s="6" t="n">
        <f aca="false">Betriebskosten!E25</f>
        <v>0.736209352538242</v>
      </c>
    </row>
    <row r="14" customFormat="false" ht="15" hidden="false" customHeight="false" outlineLevel="0" collapsed="false">
      <c r="A14" s="3" t="s">
        <v>20</v>
      </c>
      <c r="B14" s="3" t="s">
        <v>11</v>
      </c>
      <c r="C14" s="7" t="n">
        <f aca="false">Betriebskosten!C15-Investition!$F$49*Annahmen!$C$45-Annahmen!$C$46</f>
        <v>70096</v>
      </c>
      <c r="D14" s="7" t="n">
        <f aca="false">Betriebskosten!D15-Investition!$F$49*Annahmen!$D$45-Annahmen!$D$46</f>
        <v>113556.764755675</v>
      </c>
      <c r="E14" s="7" t="n">
        <f aca="false">Betriebskosten!E15-Investition!$F$49*Annahmen!$E$45-Annahmen!$E$46</f>
        <v>179443.921796845</v>
      </c>
    </row>
    <row r="15" customFormat="false" ht="15" hidden="false" customHeight="false" outlineLevel="0" collapsed="false">
      <c r="A15" s="3" t="s">
        <v>21</v>
      </c>
      <c r="B15" s="3" t="s">
        <v>11</v>
      </c>
      <c r="C15" s="4" t="n">
        <f aca="false">Investition!$F$58</f>
        <v>8557224.8</v>
      </c>
      <c r="D15" s="4" t="n">
        <f aca="false">Investition!$F$58</f>
        <v>8557224.8</v>
      </c>
      <c r="E15" s="4" t="n">
        <f aca="false">Investition!$F$58</f>
        <v>8557224.8</v>
      </c>
    </row>
    <row r="16" customFormat="false" ht="15" hidden="false" customHeight="false" outlineLevel="0" collapsed="false">
      <c r="A16" s="3" t="s">
        <v>22</v>
      </c>
      <c r="B16" s="3" t="s">
        <v>23</v>
      </c>
      <c r="C16" s="8" t="n">
        <f aca="false">IF(C14&gt;0,Investition!$F$58/C14,"n/a")</f>
        <v>122.078646427756</v>
      </c>
      <c r="D16" s="8" t="n">
        <f aca="false">IF(D14&gt;0,Investition!$F$58/D14,"n/a")</f>
        <v>75.3563631229845</v>
      </c>
      <c r="E16" s="8" t="n">
        <f aca="false">IF(E14&gt;0,Investition!$F$58/E14,"n/a")</f>
        <v>47.68745976076</v>
      </c>
    </row>
    <row r="17" customFormat="false" ht="15" hidden="false" customHeight="false" outlineLevel="0" collapsed="false">
      <c r="A17" s="3" t="s">
        <v>24</v>
      </c>
      <c r="B17" s="3" t="s">
        <v>17</v>
      </c>
      <c r="C17" s="9" t="n">
        <f aca="false">MAX(0,Betriebskosten!C14/Umsatz!C16-Annahmen!$C$43)</f>
        <v>0</v>
      </c>
      <c r="D17" s="9" t="n">
        <f aca="false">MAX(0,Betriebskosten!D14/Umsatz!D16-Annahmen!$D$43)</f>
        <v>0.014061210167989</v>
      </c>
      <c r="E17" s="9" t="n">
        <f aca="false">MAX(0,Betriebskosten!E14/Umsatz!E16-Annahmen!$E$43)</f>
        <v>0.203059035396843</v>
      </c>
    </row>
    <row r="18" customFormat="false" ht="15" hidden="false" customHeight="false" outlineLevel="0" collapsed="false">
      <c r="A18" s="3" t="s">
        <v>25</v>
      </c>
      <c r="B18" s="3" t="s">
        <v>11</v>
      </c>
      <c r="C18" s="4" t="n">
        <f aca="false">C17*Umsatz!C16</f>
        <v>0</v>
      </c>
      <c r="D18" s="4" t="n">
        <f aca="false">D17*Umsatz!D16</f>
        <v>27202.9247248944</v>
      </c>
      <c r="E18" s="4" t="n">
        <f aca="false">E17*Umsatz!E16</f>
        <v>526629.388322432</v>
      </c>
    </row>
    <row r="21" customFormat="false" ht="48" hidden="false" customHeight="true" outlineLevel="0" collapsed="false">
      <c r="A21" s="10" t="s">
        <v>26</v>
      </c>
      <c r="B21" s="10"/>
      <c r="C21" s="10"/>
      <c r="D21" s="10"/>
      <c r="E21" s="10"/>
    </row>
  </sheetData>
  <mergeCells count="1"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6" min="3" style="0" width="14"/>
    <col collapsed="false" customWidth="true" hidden="false" outlineLevel="0" max="7" min="7" style="0" width="12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27</v>
      </c>
    </row>
    <row r="2" customFormat="false" ht="31.5" hidden="false" customHeight="true" outlineLevel="0" collapsed="false">
      <c r="A2" s="11" t="s">
        <v>28</v>
      </c>
      <c r="B2" s="11"/>
      <c r="C2" s="11"/>
      <c r="D2" s="11"/>
      <c r="E2" s="11"/>
      <c r="F2" s="11"/>
      <c r="G2" s="11"/>
      <c r="H2" s="11"/>
    </row>
    <row r="4" customFormat="false" ht="15" hidden="false" customHeight="false" outlineLevel="0" collapsed="false">
      <c r="B4" s="12" t="s">
        <v>29</v>
      </c>
      <c r="C4" s="13" t="n">
        <v>2</v>
      </c>
      <c r="D4" s="12" t="str">
        <f aca="false">INDEX({"pessimistisch","Basis","optimistisch"},1,C4)</f>
        <v>Basis</v>
      </c>
    </row>
    <row r="6" customFormat="false" ht="15" hidden="false" customHeight="false" outlineLevel="0" collapsed="false">
      <c r="A6" s="14" t="s">
        <v>30</v>
      </c>
      <c r="B6" s="14" t="s">
        <v>31</v>
      </c>
      <c r="C6" s="14" t="s">
        <v>3</v>
      </c>
      <c r="D6" s="14" t="s">
        <v>4</v>
      </c>
      <c r="E6" s="14" t="s">
        <v>5</v>
      </c>
      <c r="F6" s="14" t="s">
        <v>32</v>
      </c>
      <c r="G6" s="14" t="s">
        <v>2</v>
      </c>
      <c r="H6" s="14" t="s">
        <v>33</v>
      </c>
    </row>
    <row r="7" customFormat="false" ht="15" hidden="false" customHeight="false" outlineLevel="0" collapsed="false">
      <c r="B7" s="12" t="s">
        <v>34</v>
      </c>
    </row>
    <row r="8" customFormat="false" ht="15" hidden="false" customHeight="false" outlineLevel="0" collapsed="false">
      <c r="A8" s="15" t="s">
        <v>35</v>
      </c>
      <c r="B8" s="3" t="s">
        <v>36</v>
      </c>
      <c r="C8" s="7" t="n">
        <f aca="false">D8</f>
        <v>205</v>
      </c>
      <c r="D8" s="16" t="n">
        <v>205</v>
      </c>
      <c r="E8" s="7" t="n">
        <f aca="false">D8</f>
        <v>205</v>
      </c>
      <c r="F8" s="17" t="n">
        <f aca="false">INDEX(C8:E8,1,$C$4)</f>
        <v>205</v>
      </c>
      <c r="G8" s="3" t="s">
        <v>37</v>
      </c>
      <c r="H8" s="18" t="s">
        <v>38</v>
      </c>
    </row>
    <row r="9" customFormat="false" ht="15" hidden="false" customHeight="false" outlineLevel="0" collapsed="false">
      <c r="A9" s="15" t="s">
        <v>39</v>
      </c>
      <c r="B9" s="3" t="s">
        <v>40</v>
      </c>
      <c r="C9" s="7" t="n">
        <f aca="false">D9</f>
        <v>146</v>
      </c>
      <c r="D9" s="16" t="n">
        <v>146</v>
      </c>
      <c r="E9" s="7" t="n">
        <f aca="false">D9</f>
        <v>146</v>
      </c>
      <c r="F9" s="17" t="n">
        <f aca="false">INDEX(C9:E9,1,$C$4)</f>
        <v>146</v>
      </c>
      <c r="G9" s="3" t="s">
        <v>37</v>
      </c>
      <c r="H9" s="18" t="s">
        <v>41</v>
      </c>
    </row>
    <row r="10" customFormat="false" ht="15" hidden="false" customHeight="false" outlineLevel="0" collapsed="false">
      <c r="A10" s="15" t="s">
        <v>42</v>
      </c>
      <c r="B10" s="3" t="s">
        <v>43</v>
      </c>
      <c r="C10" s="19" t="n">
        <v>140</v>
      </c>
      <c r="D10" s="19" t="n">
        <v>180</v>
      </c>
      <c r="E10" s="19" t="n">
        <v>215</v>
      </c>
      <c r="F10" s="17" t="n">
        <f aca="false">INDEX(C10:E10,1,$C$4)</f>
        <v>180</v>
      </c>
      <c r="G10" s="3" t="s">
        <v>9</v>
      </c>
      <c r="H10" s="18" t="s">
        <v>44</v>
      </c>
    </row>
    <row r="11" customFormat="false" ht="15" hidden="false" customHeight="false" outlineLevel="0" collapsed="false">
      <c r="A11" s="15" t="s">
        <v>45</v>
      </c>
      <c r="B11" s="3" t="s">
        <v>46</v>
      </c>
      <c r="C11" s="19" t="n">
        <v>50</v>
      </c>
      <c r="D11" s="19" t="n">
        <v>70</v>
      </c>
      <c r="E11" s="19" t="n">
        <v>90</v>
      </c>
      <c r="F11" s="17" t="n">
        <f aca="false">INDEX(C11:E11,1,$C$4)</f>
        <v>70</v>
      </c>
      <c r="G11" s="3" t="s">
        <v>9</v>
      </c>
      <c r="H11" s="18" t="s">
        <v>47</v>
      </c>
    </row>
    <row r="12" customFormat="false" ht="15" hidden="false" customHeight="false" outlineLevel="0" collapsed="false">
      <c r="A12" s="15" t="s">
        <v>48</v>
      </c>
      <c r="B12" s="3" t="s">
        <v>49</v>
      </c>
      <c r="C12" s="7" t="n">
        <f aca="false">D12</f>
        <v>300</v>
      </c>
      <c r="D12" s="16" t="n">
        <v>300</v>
      </c>
      <c r="E12" s="7" t="n">
        <f aca="false">D12</f>
        <v>300</v>
      </c>
      <c r="F12" s="17" t="n">
        <f aca="false">INDEX(C12:E12,1,$C$4)</f>
        <v>300</v>
      </c>
      <c r="G12" s="3" t="s">
        <v>9</v>
      </c>
      <c r="H12" s="18" t="s">
        <v>50</v>
      </c>
    </row>
    <row r="13" customFormat="false" ht="15" hidden="false" customHeight="false" outlineLevel="0" collapsed="false">
      <c r="B13" s="12" t="s">
        <v>51</v>
      </c>
    </row>
    <row r="14" customFormat="false" ht="15" hidden="false" customHeight="false" outlineLevel="0" collapsed="false">
      <c r="A14" s="15" t="s">
        <v>52</v>
      </c>
      <c r="B14" s="3" t="s">
        <v>53</v>
      </c>
      <c r="C14" s="19" t="n">
        <v>36</v>
      </c>
      <c r="D14" s="19" t="n">
        <v>39</v>
      </c>
      <c r="E14" s="19" t="n">
        <v>42</v>
      </c>
      <c r="F14" s="17" t="n">
        <f aca="false">INDEX(C14:E14,1,$C$4)</f>
        <v>39</v>
      </c>
      <c r="G14" s="3" t="s">
        <v>11</v>
      </c>
      <c r="H14" s="18" t="s">
        <v>54</v>
      </c>
    </row>
    <row r="15" customFormat="false" ht="15" hidden="false" customHeight="false" outlineLevel="0" collapsed="false">
      <c r="A15" s="15" t="s">
        <v>55</v>
      </c>
      <c r="B15" s="3" t="s">
        <v>56</v>
      </c>
      <c r="C15" s="16" t="n">
        <v>23</v>
      </c>
      <c r="D15" s="16" t="n">
        <v>25</v>
      </c>
      <c r="E15" s="16" t="n">
        <v>27</v>
      </c>
      <c r="F15" s="17" t="n">
        <f aca="false">INDEX(C15:E15,1,$C$4)</f>
        <v>25</v>
      </c>
      <c r="G15" s="3" t="s">
        <v>11</v>
      </c>
      <c r="H15" s="18" t="s">
        <v>57</v>
      </c>
    </row>
    <row r="16" customFormat="false" ht="15" hidden="false" customHeight="false" outlineLevel="0" collapsed="false">
      <c r="A16" s="15" t="s">
        <v>58</v>
      </c>
      <c r="B16" s="3" t="s">
        <v>59</v>
      </c>
      <c r="C16" s="9" t="n">
        <f aca="false">D16</f>
        <v>0.55</v>
      </c>
      <c r="D16" s="20" t="n">
        <v>0.55</v>
      </c>
      <c r="E16" s="9" t="n">
        <f aca="false">D16</f>
        <v>0.55</v>
      </c>
      <c r="F16" s="21" t="n">
        <f aca="false">INDEX(C16:E16,1,$C$4)</f>
        <v>0.55</v>
      </c>
      <c r="G16" s="3" t="s">
        <v>17</v>
      </c>
      <c r="H16" s="18" t="s">
        <v>31</v>
      </c>
    </row>
    <row r="17" customFormat="false" ht="15" hidden="false" customHeight="false" outlineLevel="0" collapsed="false">
      <c r="A17" s="15" t="s">
        <v>60</v>
      </c>
      <c r="B17" s="3" t="s">
        <v>61</v>
      </c>
      <c r="C17" s="20" t="n">
        <v>0.15</v>
      </c>
      <c r="D17" s="20" t="n">
        <v>0.12</v>
      </c>
      <c r="E17" s="20" t="n">
        <v>0.1</v>
      </c>
      <c r="F17" s="21" t="n">
        <f aca="false">INDEX(C17:E17,1,$C$4)</f>
        <v>0.12</v>
      </c>
      <c r="G17" s="3" t="s">
        <v>17</v>
      </c>
      <c r="H17" s="18" t="s">
        <v>62</v>
      </c>
    </row>
    <row r="18" customFormat="false" ht="15" hidden="false" customHeight="false" outlineLevel="0" collapsed="false">
      <c r="A18" s="15" t="s">
        <v>63</v>
      </c>
      <c r="B18" s="3" t="s">
        <v>64</v>
      </c>
      <c r="C18" s="9" t="n">
        <f aca="false">D18</f>
        <v>0.13</v>
      </c>
      <c r="D18" s="20" t="n">
        <v>0.13</v>
      </c>
      <c r="E18" s="9" t="n">
        <f aca="false">D18</f>
        <v>0.13</v>
      </c>
      <c r="F18" s="21" t="n">
        <f aca="false">INDEX(C18:E18,1,$C$4)</f>
        <v>0.13</v>
      </c>
      <c r="G18" s="3" t="s">
        <v>17</v>
      </c>
      <c r="H18" s="18" t="s">
        <v>65</v>
      </c>
    </row>
    <row r="19" customFormat="false" ht="15" hidden="false" customHeight="false" outlineLevel="0" collapsed="false">
      <c r="B19" s="12" t="s">
        <v>66</v>
      </c>
    </row>
    <row r="20" customFormat="false" ht="15" hidden="false" customHeight="false" outlineLevel="0" collapsed="false">
      <c r="A20" s="15" t="s">
        <v>67</v>
      </c>
      <c r="B20" s="3" t="s">
        <v>68</v>
      </c>
      <c r="C20" s="22" t="n">
        <v>11</v>
      </c>
      <c r="D20" s="22" t="n">
        <v>12.5</v>
      </c>
      <c r="E20" s="22" t="n">
        <v>14</v>
      </c>
      <c r="F20" s="23" t="n">
        <f aca="false">INDEX(C20:E20,1,$C$4)</f>
        <v>12.5</v>
      </c>
      <c r="G20" s="3" t="s">
        <v>11</v>
      </c>
      <c r="H20" s="18" t="s">
        <v>69</v>
      </c>
    </row>
    <row r="21" customFormat="false" ht="15" hidden="false" customHeight="false" outlineLevel="0" collapsed="false">
      <c r="A21" s="15" t="s">
        <v>70</v>
      </c>
      <c r="B21" s="3" t="s">
        <v>71</v>
      </c>
      <c r="C21" s="9" t="n">
        <f aca="false">D21</f>
        <v>0.15</v>
      </c>
      <c r="D21" s="20" t="n">
        <v>0.15</v>
      </c>
      <c r="E21" s="9" t="n">
        <f aca="false">D21</f>
        <v>0.15</v>
      </c>
      <c r="F21" s="21" t="n">
        <f aca="false">INDEX(C21:E21,1,$C$4)</f>
        <v>0.15</v>
      </c>
      <c r="G21" s="3" t="s">
        <v>17</v>
      </c>
      <c r="H21" s="18" t="s">
        <v>72</v>
      </c>
    </row>
    <row r="22" customFormat="false" ht="15" hidden="false" customHeight="false" outlineLevel="0" collapsed="false">
      <c r="A22" s="15" t="s">
        <v>73</v>
      </c>
      <c r="B22" s="3" t="s">
        <v>74</v>
      </c>
      <c r="C22" s="9" t="n">
        <f aca="false">D22</f>
        <v>0.32</v>
      </c>
      <c r="D22" s="20" t="n">
        <v>0.32</v>
      </c>
      <c r="E22" s="9" t="n">
        <f aca="false">D22</f>
        <v>0.32</v>
      </c>
      <c r="F22" s="21" t="n">
        <f aca="false">INDEX(C22:E22,1,$C$4)</f>
        <v>0.32</v>
      </c>
      <c r="G22" s="3" t="s">
        <v>17</v>
      </c>
      <c r="H22" s="18" t="s">
        <v>75</v>
      </c>
    </row>
    <row r="23" customFormat="false" ht="15" hidden="false" customHeight="false" outlineLevel="0" collapsed="false">
      <c r="A23" s="15" t="s">
        <v>76</v>
      </c>
      <c r="B23" s="3" t="s">
        <v>77</v>
      </c>
      <c r="C23" s="16" t="n">
        <v>45000</v>
      </c>
      <c r="D23" s="16" t="n">
        <v>60000</v>
      </c>
      <c r="E23" s="16" t="n">
        <v>75000</v>
      </c>
      <c r="F23" s="17" t="n">
        <f aca="false">INDEX(C23:E23,1,$C$4)</f>
        <v>60000</v>
      </c>
      <c r="G23" s="3" t="s">
        <v>78</v>
      </c>
      <c r="H23" s="18" t="s">
        <v>79</v>
      </c>
    </row>
    <row r="24" customFormat="false" ht="15" hidden="false" customHeight="false" outlineLevel="0" collapsed="false">
      <c r="A24" s="15" t="s">
        <v>80</v>
      </c>
      <c r="B24" s="3" t="s">
        <v>81</v>
      </c>
      <c r="C24" s="9" t="n">
        <f aca="false">D24</f>
        <v>0.4</v>
      </c>
      <c r="D24" s="20" t="n">
        <v>0.4</v>
      </c>
      <c r="E24" s="9" t="n">
        <f aca="false">D24</f>
        <v>0.4</v>
      </c>
      <c r="F24" s="21" t="n">
        <f aca="false">INDEX(C24:E24,1,$C$4)</f>
        <v>0.4</v>
      </c>
      <c r="G24" s="3" t="s">
        <v>17</v>
      </c>
      <c r="H24" s="18" t="s">
        <v>31</v>
      </c>
    </row>
    <row r="25" customFormat="false" ht="15" hidden="false" customHeight="false" outlineLevel="0" collapsed="false">
      <c r="A25" s="15" t="s">
        <v>82</v>
      </c>
      <c r="B25" s="3" t="s">
        <v>83</v>
      </c>
      <c r="C25" s="16" t="n">
        <v>3000</v>
      </c>
      <c r="D25" s="16" t="n">
        <v>4000</v>
      </c>
      <c r="E25" s="16" t="n">
        <v>5000</v>
      </c>
      <c r="F25" s="17" t="n">
        <f aca="false">INDEX(C25:E25,1,$C$4)</f>
        <v>4000</v>
      </c>
      <c r="G25" s="3" t="s">
        <v>84</v>
      </c>
      <c r="H25" s="18" t="s">
        <v>85</v>
      </c>
    </row>
    <row r="26" customFormat="false" ht="15" hidden="false" customHeight="false" outlineLevel="0" collapsed="false">
      <c r="A26" s="15" t="s">
        <v>86</v>
      </c>
      <c r="B26" s="3" t="s">
        <v>87</v>
      </c>
      <c r="C26" s="7" t="n">
        <f aca="false">D26</f>
        <v>75</v>
      </c>
      <c r="D26" s="16" t="n">
        <v>75</v>
      </c>
      <c r="E26" s="7" t="n">
        <f aca="false">D26</f>
        <v>75</v>
      </c>
      <c r="F26" s="17" t="n">
        <f aca="false">INDEX(C26:E26,1,$C$4)</f>
        <v>75</v>
      </c>
      <c r="G26" s="3" t="s">
        <v>11</v>
      </c>
      <c r="H26" s="18" t="s">
        <v>31</v>
      </c>
    </row>
    <row r="27" customFormat="false" ht="15" hidden="false" customHeight="false" outlineLevel="0" collapsed="false">
      <c r="A27" s="15" t="s">
        <v>88</v>
      </c>
      <c r="B27" s="3" t="s">
        <v>89</v>
      </c>
      <c r="C27" s="9" t="n">
        <f aca="false">D27</f>
        <v>0.2</v>
      </c>
      <c r="D27" s="20" t="n">
        <v>0.2</v>
      </c>
      <c r="E27" s="9" t="n">
        <f aca="false">D27</f>
        <v>0.2</v>
      </c>
      <c r="F27" s="21" t="n">
        <f aca="false">INDEX(C27:E27,1,$C$4)</f>
        <v>0.2</v>
      </c>
      <c r="G27" s="3" t="s">
        <v>17</v>
      </c>
      <c r="H27" s="18" t="s">
        <v>90</v>
      </c>
    </row>
    <row r="28" customFormat="false" ht="15" hidden="false" customHeight="false" outlineLevel="0" collapsed="false">
      <c r="A28" s="15" t="s">
        <v>91</v>
      </c>
      <c r="B28" s="3" t="s">
        <v>92</v>
      </c>
      <c r="C28" s="9" t="n">
        <f aca="false">D28</f>
        <v>0.25</v>
      </c>
      <c r="D28" s="20" t="n">
        <v>0.25</v>
      </c>
      <c r="E28" s="9" t="n">
        <f aca="false">D28</f>
        <v>0.25</v>
      </c>
      <c r="F28" s="21" t="n">
        <f aca="false">INDEX(C28:E28,1,$C$4)</f>
        <v>0.25</v>
      </c>
      <c r="G28" s="3" t="s">
        <v>17</v>
      </c>
      <c r="H28" s="18" t="s">
        <v>93</v>
      </c>
    </row>
    <row r="29" customFormat="false" ht="15" hidden="false" customHeight="false" outlineLevel="0" collapsed="false">
      <c r="A29" s="15" t="s">
        <v>94</v>
      </c>
      <c r="B29" s="3" t="s">
        <v>95</v>
      </c>
      <c r="C29" s="16" t="n">
        <v>25</v>
      </c>
      <c r="D29" s="16" t="n">
        <v>40</v>
      </c>
      <c r="E29" s="16" t="n">
        <v>55</v>
      </c>
      <c r="F29" s="17" t="n">
        <f aca="false">INDEX(C29:E29,1,$C$4)</f>
        <v>40</v>
      </c>
      <c r="G29" s="3" t="s">
        <v>84</v>
      </c>
      <c r="H29" s="18" t="s">
        <v>96</v>
      </c>
    </row>
    <row r="30" customFormat="false" ht="15" hidden="false" customHeight="false" outlineLevel="0" collapsed="false">
      <c r="A30" s="15" t="s">
        <v>97</v>
      </c>
      <c r="B30" s="3" t="s">
        <v>98</v>
      </c>
      <c r="C30" s="7" t="n">
        <f aca="false">D30</f>
        <v>2500</v>
      </c>
      <c r="D30" s="16" t="n">
        <v>2500</v>
      </c>
      <c r="E30" s="7" t="n">
        <f aca="false">D30</f>
        <v>2500</v>
      </c>
      <c r="F30" s="17" t="n">
        <f aca="false">INDEX(C30:E30,1,$C$4)</f>
        <v>2500</v>
      </c>
      <c r="G30" s="3" t="s">
        <v>11</v>
      </c>
      <c r="H30" s="18" t="s">
        <v>31</v>
      </c>
    </row>
    <row r="31" customFormat="false" ht="15" hidden="false" customHeight="false" outlineLevel="0" collapsed="false">
      <c r="B31" s="12" t="s">
        <v>99</v>
      </c>
    </row>
    <row r="32" customFormat="false" ht="15" hidden="false" customHeight="false" outlineLevel="0" collapsed="false">
      <c r="A32" s="15" t="s">
        <v>100</v>
      </c>
      <c r="B32" s="3" t="s">
        <v>101</v>
      </c>
      <c r="C32" s="19" t="n">
        <v>21</v>
      </c>
      <c r="D32" s="19" t="n">
        <v>20</v>
      </c>
      <c r="E32" s="19" t="n">
        <v>20</v>
      </c>
      <c r="F32" s="17" t="n">
        <f aca="false">INDEX(C32:E32,1,$C$4)</f>
        <v>20</v>
      </c>
      <c r="G32" s="3" t="s">
        <v>102</v>
      </c>
      <c r="H32" s="18" t="s">
        <v>103</v>
      </c>
    </row>
    <row r="33" customFormat="false" ht="15" hidden="false" customHeight="false" outlineLevel="0" collapsed="false">
      <c r="A33" s="15" t="s">
        <v>104</v>
      </c>
      <c r="B33" s="3" t="s">
        <v>105</v>
      </c>
      <c r="C33" s="7" t="n">
        <f aca="false">D33</f>
        <v>52000</v>
      </c>
      <c r="D33" s="16" t="n">
        <v>52000</v>
      </c>
      <c r="E33" s="7" t="n">
        <f aca="false">D33</f>
        <v>52000</v>
      </c>
      <c r="F33" s="17" t="n">
        <f aca="false">INDEX(C33:E33,1,$C$4)</f>
        <v>52000</v>
      </c>
      <c r="G33" s="3" t="s">
        <v>78</v>
      </c>
      <c r="H33" s="18" t="s">
        <v>106</v>
      </c>
    </row>
    <row r="34" customFormat="false" ht="15" hidden="false" customHeight="false" outlineLevel="0" collapsed="false">
      <c r="A34" s="15" t="s">
        <v>107</v>
      </c>
      <c r="B34" s="3" t="s">
        <v>108</v>
      </c>
      <c r="C34" s="19" t="n">
        <v>220000</v>
      </c>
      <c r="D34" s="19" t="n">
        <v>180000</v>
      </c>
      <c r="E34" s="19" t="n">
        <v>160000</v>
      </c>
      <c r="F34" s="17" t="n">
        <f aca="false">INDEX(C34:E34,1,$C$4)</f>
        <v>180000</v>
      </c>
      <c r="G34" s="3" t="s">
        <v>78</v>
      </c>
      <c r="H34" s="18" t="s">
        <v>109</v>
      </c>
    </row>
    <row r="35" customFormat="false" ht="15" hidden="false" customHeight="false" outlineLevel="0" collapsed="false">
      <c r="A35" s="15" t="s">
        <v>110</v>
      </c>
      <c r="B35" s="3" t="s">
        <v>111</v>
      </c>
      <c r="C35" s="7" t="n">
        <f aca="false">D35</f>
        <v>40000</v>
      </c>
      <c r="D35" s="16" t="n">
        <v>40000</v>
      </c>
      <c r="E35" s="7" t="n">
        <f aca="false">D35</f>
        <v>40000</v>
      </c>
      <c r="F35" s="17" t="n">
        <f aca="false">INDEX(C35:E35,1,$C$4)</f>
        <v>40000</v>
      </c>
      <c r="G35" s="3" t="s">
        <v>78</v>
      </c>
      <c r="H35" s="18" t="s">
        <v>31</v>
      </c>
    </row>
    <row r="36" customFormat="false" ht="15" hidden="false" customHeight="false" outlineLevel="0" collapsed="false">
      <c r="A36" s="15" t="s">
        <v>112</v>
      </c>
      <c r="B36" s="3" t="s">
        <v>113</v>
      </c>
      <c r="C36" s="24" t="n">
        <f aca="false">D36</f>
        <v>2.2</v>
      </c>
      <c r="D36" s="25" t="n">
        <v>2.2</v>
      </c>
      <c r="E36" s="24" t="n">
        <f aca="false">D36</f>
        <v>2.2</v>
      </c>
      <c r="F36" s="23" t="n">
        <f aca="false">INDEX(C36:E36,1,$C$4)</f>
        <v>2.2</v>
      </c>
      <c r="G36" s="3" t="s">
        <v>11</v>
      </c>
      <c r="H36" s="18" t="s">
        <v>31</v>
      </c>
    </row>
    <row r="37" customFormat="false" ht="15" hidden="false" customHeight="false" outlineLevel="0" collapsed="false">
      <c r="A37" s="15" t="s">
        <v>114</v>
      </c>
      <c r="B37" s="3" t="s">
        <v>115</v>
      </c>
      <c r="C37" s="9" t="n">
        <f aca="false">D37</f>
        <v>0.04</v>
      </c>
      <c r="D37" s="20" t="n">
        <v>0.04</v>
      </c>
      <c r="E37" s="9" t="n">
        <f aca="false">D37</f>
        <v>0.04</v>
      </c>
      <c r="F37" s="21" t="n">
        <f aca="false">INDEX(C37:E37,1,$C$4)</f>
        <v>0.04</v>
      </c>
      <c r="G37" s="3" t="s">
        <v>17</v>
      </c>
      <c r="H37" s="18" t="s">
        <v>31</v>
      </c>
    </row>
    <row r="38" customFormat="false" ht="15" hidden="false" customHeight="false" outlineLevel="0" collapsed="false">
      <c r="A38" s="15" t="s">
        <v>116</v>
      </c>
      <c r="B38" s="3" t="s">
        <v>117</v>
      </c>
      <c r="C38" s="9" t="n">
        <f aca="false">D38</f>
        <v>0.02</v>
      </c>
      <c r="D38" s="20" t="n">
        <v>0.02</v>
      </c>
      <c r="E38" s="9" t="n">
        <f aca="false">D38</f>
        <v>0.02</v>
      </c>
      <c r="F38" s="21" t="n">
        <f aca="false">INDEX(C38:E38,1,$C$4)</f>
        <v>0.02</v>
      </c>
      <c r="G38" s="3" t="s">
        <v>17</v>
      </c>
      <c r="H38" s="18" t="s">
        <v>118</v>
      </c>
    </row>
    <row r="39" customFormat="false" ht="15" hidden="false" customHeight="false" outlineLevel="0" collapsed="false">
      <c r="A39" s="15" t="s">
        <v>119</v>
      </c>
      <c r="B39" s="3" t="s">
        <v>120</v>
      </c>
      <c r="C39" s="7" t="n">
        <f aca="false">D39</f>
        <v>85000</v>
      </c>
      <c r="D39" s="16" t="n">
        <v>85000</v>
      </c>
      <c r="E39" s="7" t="n">
        <f aca="false">D39</f>
        <v>85000</v>
      </c>
      <c r="F39" s="17" t="n">
        <f aca="false">INDEX(C39:E39,1,$C$4)</f>
        <v>85000</v>
      </c>
      <c r="G39" s="3" t="s">
        <v>78</v>
      </c>
      <c r="H39" s="18" t="s">
        <v>31</v>
      </c>
    </row>
    <row r="40" customFormat="false" ht="15" hidden="false" customHeight="false" outlineLevel="0" collapsed="false">
      <c r="B40" s="12" t="s">
        <v>121</v>
      </c>
    </row>
    <row r="41" customFormat="false" ht="15" hidden="false" customHeight="false" outlineLevel="0" collapsed="false">
      <c r="A41" s="15" t="s">
        <v>122</v>
      </c>
      <c r="B41" s="3" t="s">
        <v>123</v>
      </c>
      <c r="C41" s="26" t="n">
        <f aca="false">D41</f>
        <v>0.1</v>
      </c>
      <c r="D41" s="27" t="n">
        <v>0.1</v>
      </c>
      <c r="E41" s="26" t="n">
        <f aca="false">D41</f>
        <v>0.1</v>
      </c>
      <c r="F41" s="21" t="n">
        <f aca="false">INDEX(C41:E41,1,$C$4)</f>
        <v>0.1</v>
      </c>
      <c r="G41" s="3" t="s">
        <v>17</v>
      </c>
      <c r="H41" s="18" t="s">
        <v>124</v>
      </c>
    </row>
    <row r="42" customFormat="false" ht="15" hidden="false" customHeight="false" outlineLevel="0" collapsed="false">
      <c r="A42" s="15" t="s">
        <v>125</v>
      </c>
      <c r="B42" s="3" t="s">
        <v>126</v>
      </c>
      <c r="C42" s="7" t="n">
        <f aca="false">D42</f>
        <v>150000</v>
      </c>
      <c r="D42" s="16" t="n">
        <v>150000</v>
      </c>
      <c r="E42" s="7" t="n">
        <f aca="false">D42</f>
        <v>150000</v>
      </c>
      <c r="F42" s="17" t="n">
        <f aca="false">INDEX(C42:E42,1,$C$4)</f>
        <v>150000</v>
      </c>
      <c r="G42" s="3" t="s">
        <v>78</v>
      </c>
      <c r="H42" s="18" t="s">
        <v>127</v>
      </c>
    </row>
    <row r="43" customFormat="false" ht="15" hidden="false" customHeight="false" outlineLevel="0" collapsed="false">
      <c r="A43" s="15" t="s">
        <v>128</v>
      </c>
      <c r="B43" s="3" t="s">
        <v>129</v>
      </c>
      <c r="C43" s="9" t="n">
        <f aca="false">D43</f>
        <v>0.08</v>
      </c>
      <c r="D43" s="20" t="n">
        <v>0.08</v>
      </c>
      <c r="E43" s="9" t="n">
        <f aca="false">D43</f>
        <v>0.08</v>
      </c>
      <c r="F43" s="21" t="n">
        <f aca="false">INDEX(C43:E43,1,$C$4)</f>
        <v>0.08</v>
      </c>
      <c r="G43" s="3" t="s">
        <v>17</v>
      </c>
      <c r="H43" s="18" t="s">
        <v>130</v>
      </c>
    </row>
    <row r="44" customFormat="false" ht="15" hidden="false" customHeight="false" outlineLevel="0" collapsed="false">
      <c r="B44" s="12" t="s">
        <v>131</v>
      </c>
    </row>
    <row r="45" customFormat="false" ht="15" hidden="false" customHeight="false" outlineLevel="0" collapsed="false">
      <c r="A45" s="15" t="s">
        <v>132</v>
      </c>
      <c r="B45" s="3" t="s">
        <v>133</v>
      </c>
      <c r="C45" s="9" t="n">
        <f aca="false">D45</f>
        <v>0.008</v>
      </c>
      <c r="D45" s="20" t="n">
        <v>0.008</v>
      </c>
      <c r="E45" s="9" t="n">
        <f aca="false">D45</f>
        <v>0.008</v>
      </c>
      <c r="F45" s="21" t="n">
        <f aca="false">INDEX(C45:E45,1,$C$4)</f>
        <v>0.008</v>
      </c>
      <c r="G45" s="3" t="s">
        <v>17</v>
      </c>
      <c r="H45" s="18" t="s">
        <v>134</v>
      </c>
    </row>
    <row r="46" customFormat="false" ht="15" hidden="false" customHeight="false" outlineLevel="0" collapsed="false">
      <c r="A46" s="15" t="s">
        <v>135</v>
      </c>
      <c r="B46" s="3" t="s">
        <v>136</v>
      </c>
      <c r="C46" s="7" t="n">
        <f aca="false">D46</f>
        <v>25000</v>
      </c>
      <c r="D46" s="16" t="n">
        <v>25000</v>
      </c>
      <c r="E46" s="7" t="n">
        <f aca="false">D46</f>
        <v>25000</v>
      </c>
      <c r="F46" s="17" t="n">
        <f aca="false">INDEX(C46:E46,1,$C$4)</f>
        <v>25000</v>
      </c>
      <c r="G46" s="3" t="s">
        <v>78</v>
      </c>
      <c r="H46" s="18" t="s">
        <v>137</v>
      </c>
    </row>
    <row r="47" customFormat="false" ht="15" hidden="false" customHeight="false" outlineLevel="0" collapsed="false">
      <c r="A47" s="15" t="s">
        <v>138</v>
      </c>
      <c r="B47" s="3" t="s">
        <v>139</v>
      </c>
      <c r="C47" s="9" t="n">
        <f aca="false">D47</f>
        <v>0.03</v>
      </c>
      <c r="D47" s="20" t="n">
        <v>0.03</v>
      </c>
      <c r="E47" s="9" t="n">
        <f aca="false">D47</f>
        <v>0.03</v>
      </c>
      <c r="F47" s="21" t="n">
        <f aca="false">INDEX(C47:E47,1,$C$4)</f>
        <v>0.03</v>
      </c>
      <c r="G47" s="3" t="s">
        <v>17</v>
      </c>
      <c r="H47" s="18" t="s">
        <v>140</v>
      </c>
    </row>
    <row r="48" customFormat="false" ht="15" hidden="false" customHeight="false" outlineLevel="0" collapsed="false">
      <c r="A48" s="15" t="s">
        <v>141</v>
      </c>
      <c r="B48" s="3" t="s">
        <v>142</v>
      </c>
      <c r="C48" s="9" t="n">
        <f aca="false">D48</f>
        <v>0.76</v>
      </c>
      <c r="D48" s="20" t="n">
        <v>0.76</v>
      </c>
      <c r="E48" s="9" t="n">
        <f aca="false">D48</f>
        <v>0.76</v>
      </c>
      <c r="F48" s="21" t="n">
        <f aca="false">INDEX(C48:E48,1,$C$4)</f>
        <v>0.76</v>
      </c>
      <c r="G48" s="3" t="s">
        <v>17</v>
      </c>
      <c r="H48" s="18" t="s">
        <v>143</v>
      </c>
    </row>
    <row r="49" customFormat="false" ht="15" hidden="false" customHeight="false" outlineLevel="0" collapsed="false">
      <c r="B49" s="12" t="s">
        <v>144</v>
      </c>
    </row>
    <row r="50" customFormat="false" ht="15" hidden="false" customHeight="false" outlineLevel="0" collapsed="false">
      <c r="A50" s="15" t="s">
        <v>145</v>
      </c>
      <c r="B50" s="3" t="s">
        <v>146</v>
      </c>
      <c r="C50" s="28" t="n">
        <f aca="false">D50</f>
        <v>2029</v>
      </c>
      <c r="D50" s="29" t="n">
        <v>2029</v>
      </c>
      <c r="E50" s="28" t="n">
        <f aca="false">D50</f>
        <v>2029</v>
      </c>
      <c r="F50" s="30" t="n">
        <f aca="false">INDEX(C50:E50,1,$C$4)</f>
        <v>2029</v>
      </c>
      <c r="G50" s="3" t="s">
        <v>147</v>
      </c>
      <c r="H50" s="18" t="s">
        <v>148</v>
      </c>
    </row>
    <row r="51" customFormat="false" ht="15" hidden="false" customHeight="false" outlineLevel="0" collapsed="false">
      <c r="A51" s="15" t="s">
        <v>149</v>
      </c>
      <c r="B51" s="3" t="s">
        <v>150</v>
      </c>
      <c r="C51" s="20" t="n">
        <v>0.7</v>
      </c>
      <c r="D51" s="20" t="n">
        <v>0.75</v>
      </c>
      <c r="E51" s="20" t="n">
        <v>0.85</v>
      </c>
      <c r="F51" s="21" t="n">
        <f aca="false">INDEX(C51:E51,1,$C$4)</f>
        <v>0.75</v>
      </c>
      <c r="G51" s="3" t="s">
        <v>17</v>
      </c>
      <c r="H51" s="18" t="s">
        <v>31</v>
      </c>
    </row>
    <row r="52" customFormat="false" ht="15" hidden="false" customHeight="false" outlineLevel="0" collapsed="false">
      <c r="A52" s="15" t="s">
        <v>151</v>
      </c>
      <c r="B52" s="3" t="s">
        <v>152</v>
      </c>
      <c r="C52" s="20" t="n">
        <v>0.85</v>
      </c>
      <c r="D52" s="20" t="n">
        <v>0.9</v>
      </c>
      <c r="E52" s="20" t="n">
        <v>0.95</v>
      </c>
      <c r="F52" s="21" t="n">
        <f aca="false">INDEX(C52:E52,1,$C$4)</f>
        <v>0.9</v>
      </c>
      <c r="G52" s="3" t="s">
        <v>17</v>
      </c>
      <c r="H52" s="18" t="s">
        <v>31</v>
      </c>
    </row>
    <row r="53" customFormat="false" ht="15" hidden="false" customHeight="false" outlineLevel="0" collapsed="false">
      <c r="A53" s="15" t="s">
        <v>153</v>
      </c>
      <c r="B53" s="3" t="s">
        <v>154</v>
      </c>
      <c r="C53" s="9" t="n">
        <f aca="false">D53</f>
        <v>0.025</v>
      </c>
      <c r="D53" s="20" t="n">
        <v>0.025</v>
      </c>
      <c r="E53" s="9" t="n">
        <f aca="false">D53</f>
        <v>0.025</v>
      </c>
      <c r="F53" s="21" t="n">
        <f aca="false">INDEX(C53:E53,1,$C$4)</f>
        <v>0.025</v>
      </c>
      <c r="G53" s="3" t="s">
        <v>17</v>
      </c>
      <c r="H53" s="18" t="s">
        <v>31</v>
      </c>
    </row>
    <row r="54" customFormat="false" ht="15" hidden="false" customHeight="false" outlineLevel="0" collapsed="false">
      <c r="A54" s="15" t="s">
        <v>155</v>
      </c>
      <c r="B54" s="3" t="s">
        <v>156</v>
      </c>
      <c r="C54" s="9" t="n">
        <f aca="false">D54</f>
        <v>0.03</v>
      </c>
      <c r="D54" s="20" t="n">
        <v>0.03</v>
      </c>
      <c r="E54" s="9" t="n">
        <f aca="false">D54</f>
        <v>0.03</v>
      </c>
      <c r="F54" s="21" t="n">
        <f aca="false">INDEX(C54:E54,1,$C$4)</f>
        <v>0.03</v>
      </c>
      <c r="G54" s="3" t="s">
        <v>17</v>
      </c>
      <c r="H54" s="18" t="s">
        <v>31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157</v>
      </c>
    </row>
    <row r="3" customFormat="false" ht="15" hidden="false" customHeight="false" outlineLevel="0" collapsed="false">
      <c r="A3" s="2" t="s">
        <v>158</v>
      </c>
      <c r="B3" s="2" t="s">
        <v>159</v>
      </c>
      <c r="C3" s="2" t="s">
        <v>160</v>
      </c>
      <c r="D3" s="2" t="s">
        <v>161</v>
      </c>
    </row>
    <row r="4" customFormat="false" ht="15" hidden="false" customHeight="false" outlineLevel="0" collapsed="false">
      <c r="A4" s="3" t="s">
        <v>162</v>
      </c>
      <c r="B4" s="16" t="n">
        <v>60</v>
      </c>
      <c r="D4" s="18" t="s">
        <v>163</v>
      </c>
    </row>
    <row r="5" customFormat="false" ht="15" hidden="false" customHeight="false" outlineLevel="0" collapsed="false">
      <c r="A5" s="3" t="s">
        <v>164</v>
      </c>
      <c r="B5" s="16" t="n">
        <v>140</v>
      </c>
      <c r="C5" s="16" t="n">
        <v>180</v>
      </c>
      <c r="D5" s="18" t="s">
        <v>165</v>
      </c>
    </row>
    <row r="6" customFormat="false" ht="15" hidden="false" customHeight="false" outlineLevel="0" collapsed="false">
      <c r="A6" s="3" t="s">
        <v>166</v>
      </c>
      <c r="B6" s="16" t="n">
        <v>100</v>
      </c>
      <c r="D6" s="18" t="s">
        <v>167</v>
      </c>
    </row>
    <row r="7" customFormat="false" ht="15" hidden="false" customHeight="false" outlineLevel="0" collapsed="false">
      <c r="A7" s="3" t="s">
        <v>168</v>
      </c>
      <c r="B7" s="16" t="n">
        <v>55</v>
      </c>
      <c r="C7" s="16" t="n">
        <v>35</v>
      </c>
      <c r="D7" s="18" t="s">
        <v>169</v>
      </c>
    </row>
    <row r="8" customFormat="false" ht="15" hidden="false" customHeight="false" outlineLevel="0" collapsed="false">
      <c r="A8" s="3" t="s">
        <v>170</v>
      </c>
      <c r="B8" s="16" t="n">
        <v>25</v>
      </c>
      <c r="C8" s="16" t="n">
        <v>12</v>
      </c>
      <c r="D8" s="18" t="s">
        <v>171</v>
      </c>
    </row>
    <row r="9" customFormat="false" ht="15" hidden="false" customHeight="false" outlineLevel="0" collapsed="false">
      <c r="A9" s="3" t="s">
        <v>172</v>
      </c>
      <c r="B9" s="16" t="n">
        <v>22</v>
      </c>
      <c r="C9" s="16" t="n">
        <v>10</v>
      </c>
      <c r="D9" s="18" t="s">
        <v>173</v>
      </c>
    </row>
    <row r="10" customFormat="false" ht="15" hidden="false" customHeight="false" outlineLevel="0" collapsed="false">
      <c r="A10" s="3" t="s">
        <v>174</v>
      </c>
      <c r="B10" s="16" t="n">
        <v>30</v>
      </c>
      <c r="C10" s="16" t="n">
        <v>15</v>
      </c>
      <c r="D10" s="18" t="s">
        <v>175</v>
      </c>
    </row>
    <row r="11" customFormat="false" ht="15" hidden="false" customHeight="false" outlineLevel="0" collapsed="false">
      <c r="A11" s="3" t="s">
        <v>176</v>
      </c>
      <c r="B11" s="16" t="n">
        <v>70</v>
      </c>
      <c r="D11" s="18" t="s">
        <v>177</v>
      </c>
    </row>
    <row r="12" customFormat="false" ht="15" hidden="false" customHeight="false" outlineLevel="0" collapsed="false">
      <c r="A12" s="3" t="s">
        <v>178</v>
      </c>
      <c r="B12" s="16" t="n">
        <v>200</v>
      </c>
      <c r="C12" s="16" t="n">
        <v>50</v>
      </c>
      <c r="D12" s="18" t="s">
        <v>179</v>
      </c>
    </row>
    <row r="13" customFormat="false" ht="15" hidden="false" customHeight="false" outlineLevel="0" collapsed="false">
      <c r="A13" s="3" t="s">
        <v>180</v>
      </c>
      <c r="B13" s="16" t="n">
        <v>200</v>
      </c>
      <c r="C13" s="16" t="n">
        <v>50</v>
      </c>
      <c r="D13" s="18" t="s">
        <v>181</v>
      </c>
    </row>
    <row r="14" customFormat="false" ht="15" hidden="false" customHeight="false" outlineLevel="0" collapsed="false">
      <c r="A14" s="3" t="s">
        <v>182</v>
      </c>
      <c r="B14" s="16" t="n">
        <v>90</v>
      </c>
      <c r="C14" s="16" t="n">
        <v>40</v>
      </c>
      <c r="D14" s="18" t="s">
        <v>183</v>
      </c>
    </row>
    <row r="15" customFormat="false" ht="15" hidden="false" customHeight="false" outlineLevel="0" collapsed="false">
      <c r="A15" s="3" t="s">
        <v>184</v>
      </c>
      <c r="B15" s="16" t="n">
        <v>50</v>
      </c>
      <c r="D15" s="18" t="s">
        <v>185</v>
      </c>
    </row>
    <row r="16" customFormat="false" ht="15" hidden="false" customHeight="false" outlineLevel="0" collapsed="false">
      <c r="A16" s="3" t="s">
        <v>186</v>
      </c>
      <c r="B16" s="16" t="n">
        <v>40</v>
      </c>
      <c r="C16" s="16" t="n">
        <v>2</v>
      </c>
      <c r="D16" s="18" t="s">
        <v>187</v>
      </c>
    </row>
    <row r="17" customFormat="false" ht="15" hidden="false" customHeight="false" outlineLevel="0" collapsed="false">
      <c r="A17" s="3" t="s">
        <v>188</v>
      </c>
      <c r="B17" s="16" t="n">
        <v>55</v>
      </c>
      <c r="D17" s="18"/>
    </row>
    <row r="18" customFormat="false" ht="15" hidden="false" customHeight="false" outlineLevel="0" collapsed="false">
      <c r="A18" s="3" t="s">
        <v>189</v>
      </c>
      <c r="B18" s="16" t="n">
        <v>150</v>
      </c>
      <c r="D18" s="18" t="s">
        <v>190</v>
      </c>
    </row>
    <row r="19" customFormat="false" ht="15" hidden="false" customHeight="false" outlineLevel="0" collapsed="false">
      <c r="A19" s="3" t="s">
        <v>191</v>
      </c>
      <c r="B19" s="16" t="n">
        <v>140</v>
      </c>
      <c r="D19" s="18" t="s">
        <v>192</v>
      </c>
    </row>
    <row r="20" customFormat="false" ht="15" hidden="false" customHeight="false" outlineLevel="0" collapsed="false">
      <c r="A20" s="12" t="s">
        <v>193</v>
      </c>
      <c r="B20" s="31" t="n">
        <f aca="false">SUM(B4:B19)</f>
        <v>1427</v>
      </c>
    </row>
    <row r="21" customFormat="false" ht="15" hidden="false" customHeight="false" outlineLevel="0" collapsed="false">
      <c r="A21" s="3" t="s">
        <v>194</v>
      </c>
      <c r="B21" s="25" t="n">
        <v>1.18</v>
      </c>
      <c r="D21" s="18" t="s">
        <v>195</v>
      </c>
    </row>
    <row r="22" customFormat="false" ht="15" hidden="false" customHeight="false" outlineLevel="0" collapsed="false">
      <c r="A22" s="12" t="s">
        <v>196</v>
      </c>
      <c r="B22" s="31" t="n">
        <f aca="false">ROUND(B20*B21,-1)</f>
        <v>1680</v>
      </c>
    </row>
    <row r="24" customFormat="false" ht="15" hidden="false" customHeight="false" outlineLevel="0" collapsed="false">
      <c r="A24" s="3" t="s">
        <v>197</v>
      </c>
      <c r="C24" s="7" t="n">
        <f aca="false">C7+C8+C9+C10</f>
        <v>72</v>
      </c>
    </row>
    <row r="25" customFormat="false" ht="15" hidden="false" customHeight="false" outlineLevel="0" collapsed="false">
      <c r="A25" s="3" t="s">
        <v>198</v>
      </c>
      <c r="C25" s="7" t="n">
        <f aca="false">C12+C13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6" min="5" style="0" width="16"/>
    <col collapsed="false" customWidth="true" hidden="false" outlineLevel="0" max="7" min="7" style="0" width="62"/>
  </cols>
  <sheetData>
    <row r="1" customFormat="false" ht="17.35" hidden="false" customHeight="false" outlineLevel="0" collapsed="false">
      <c r="A1" s="1" t="s">
        <v>199</v>
      </c>
    </row>
    <row r="3" customFormat="false" ht="26.85" hidden="false" customHeight="false" outlineLevel="0" collapsed="false">
      <c r="A3" s="2" t="s">
        <v>200</v>
      </c>
      <c r="B3" s="2" t="s">
        <v>201</v>
      </c>
      <c r="C3" s="2" t="s">
        <v>202</v>
      </c>
      <c r="D3" s="2" t="s">
        <v>2</v>
      </c>
      <c r="E3" s="2" t="s">
        <v>203</v>
      </c>
      <c r="F3" s="2" t="s">
        <v>204</v>
      </c>
      <c r="G3" s="2" t="s">
        <v>205</v>
      </c>
    </row>
    <row r="4" customFormat="false" ht="15" hidden="false" customHeight="false" outlineLevel="0" collapsed="false">
      <c r="A4" s="12" t="s">
        <v>206</v>
      </c>
      <c r="B4" s="12" t="s">
        <v>207</v>
      </c>
      <c r="G4" s="18"/>
    </row>
    <row r="5" customFormat="false" ht="15" hidden="false" customHeight="false" outlineLevel="0" collapsed="false">
      <c r="B5" s="3" t="s">
        <v>208</v>
      </c>
      <c r="C5" s="16" t="n">
        <v>1</v>
      </c>
      <c r="D5" s="3" t="s">
        <v>209</v>
      </c>
      <c r="E5" s="16" t="n">
        <v>200000</v>
      </c>
      <c r="F5" s="7" t="n">
        <f aca="false">C5*E5</f>
        <v>200000</v>
      </c>
      <c r="G5" s="18" t="s">
        <v>210</v>
      </c>
    </row>
    <row r="6" customFormat="false" ht="15" hidden="false" customHeight="false" outlineLevel="0" collapsed="false">
      <c r="B6" s="3" t="s">
        <v>211</v>
      </c>
      <c r="C6" s="16" t="n">
        <v>1</v>
      </c>
      <c r="D6" s="3" t="s">
        <v>209</v>
      </c>
      <c r="E6" s="16" t="n">
        <v>100000</v>
      </c>
      <c r="F6" s="7" t="n">
        <f aca="false">C6*E6</f>
        <v>100000</v>
      </c>
      <c r="G6" s="18"/>
    </row>
    <row r="7" customFormat="false" ht="15" hidden="false" customHeight="false" outlineLevel="0" collapsed="false">
      <c r="B7" s="12" t="s">
        <v>212</v>
      </c>
      <c r="F7" s="31" t="n">
        <f aca="false">SUM(F5:F6)</f>
        <v>300000</v>
      </c>
      <c r="G7" s="18"/>
    </row>
    <row r="8" customFormat="false" ht="15" hidden="false" customHeight="false" outlineLevel="0" collapsed="false">
      <c r="G8" s="18"/>
    </row>
    <row r="9" customFormat="false" ht="15" hidden="false" customHeight="false" outlineLevel="0" collapsed="false">
      <c r="A9" s="12" t="s">
        <v>213</v>
      </c>
      <c r="B9" s="12" t="s">
        <v>214</v>
      </c>
      <c r="G9" s="18"/>
    </row>
    <row r="10" customFormat="false" ht="15" hidden="false" customHeight="false" outlineLevel="0" collapsed="false">
      <c r="B10" s="3" t="s">
        <v>215</v>
      </c>
      <c r="C10" s="4" t="n">
        <f aca="false">Raumprogramm!$B$22</f>
        <v>1680</v>
      </c>
      <c r="D10" s="3" t="s">
        <v>216</v>
      </c>
      <c r="E10" s="16" t="n">
        <v>1100</v>
      </c>
      <c r="F10" s="7" t="n">
        <f aca="false">C10*E10</f>
        <v>1848000</v>
      </c>
      <c r="G10" s="18" t="s">
        <v>217</v>
      </c>
    </row>
    <row r="11" customFormat="false" ht="15" hidden="false" customHeight="false" outlineLevel="0" collapsed="false">
      <c r="B11" s="12" t="s">
        <v>218</v>
      </c>
      <c r="F11" s="31" t="n">
        <f aca="false">SUM(F10:F10)</f>
        <v>1848000</v>
      </c>
      <c r="G11" s="18"/>
    </row>
    <row r="12" customFormat="false" ht="15" hidden="false" customHeight="false" outlineLevel="0" collapsed="false">
      <c r="G12" s="18"/>
    </row>
    <row r="13" customFormat="false" ht="15" hidden="false" customHeight="false" outlineLevel="0" collapsed="false">
      <c r="A13" s="12" t="s">
        <v>219</v>
      </c>
      <c r="B13" s="12" t="s">
        <v>220</v>
      </c>
      <c r="G13" s="18"/>
    </row>
    <row r="14" customFormat="false" ht="15" hidden="false" customHeight="false" outlineLevel="0" collapsed="false">
      <c r="B14" s="3" t="s">
        <v>221</v>
      </c>
      <c r="C14" s="4" t="n">
        <f aca="false">Raumprogramm!$B$22</f>
        <v>1680</v>
      </c>
      <c r="D14" s="3" t="s">
        <v>216</v>
      </c>
      <c r="E14" s="16" t="n">
        <v>900</v>
      </c>
      <c r="F14" s="7" t="n">
        <f aca="false">C14*E14</f>
        <v>1512000</v>
      </c>
      <c r="G14" s="18" t="s">
        <v>222</v>
      </c>
    </row>
    <row r="15" customFormat="false" ht="15" hidden="false" customHeight="false" outlineLevel="0" collapsed="false">
      <c r="B15" s="3" t="s">
        <v>223</v>
      </c>
      <c r="C15" s="16" t="n">
        <v>1</v>
      </c>
      <c r="D15" s="3" t="s">
        <v>209</v>
      </c>
      <c r="E15" s="16" t="n">
        <v>450000</v>
      </c>
      <c r="F15" s="7" t="n">
        <f aca="false">C15*E15</f>
        <v>450000</v>
      </c>
      <c r="G15" s="18" t="s">
        <v>224</v>
      </c>
    </row>
    <row r="16" customFormat="false" ht="15" hidden="false" customHeight="false" outlineLevel="0" collapsed="false">
      <c r="B16" s="3" t="s">
        <v>225</v>
      </c>
      <c r="C16" s="16" t="n">
        <v>150</v>
      </c>
      <c r="D16" s="3" t="s">
        <v>226</v>
      </c>
      <c r="E16" s="16" t="n">
        <v>1100</v>
      </c>
      <c r="F16" s="7" t="n">
        <f aca="false">C16*E16</f>
        <v>165000</v>
      </c>
      <c r="G16" s="18" t="s">
        <v>227</v>
      </c>
    </row>
    <row r="17" customFormat="false" ht="15" hidden="false" customHeight="false" outlineLevel="0" collapsed="false">
      <c r="B17" s="3" t="s">
        <v>228</v>
      </c>
      <c r="C17" s="16" t="n">
        <v>1</v>
      </c>
      <c r="D17" s="3" t="s">
        <v>209</v>
      </c>
      <c r="E17" s="16" t="n">
        <v>120000</v>
      </c>
      <c r="F17" s="7" t="n">
        <f aca="false">C17*E17</f>
        <v>120000</v>
      </c>
      <c r="G17" s="18" t="s">
        <v>229</v>
      </c>
    </row>
    <row r="18" customFormat="false" ht="15" hidden="false" customHeight="false" outlineLevel="0" collapsed="false">
      <c r="B18" s="12" t="s">
        <v>230</v>
      </c>
      <c r="F18" s="31" t="n">
        <f aca="false">SUM(F14:F17)</f>
        <v>2247000</v>
      </c>
      <c r="G18" s="18"/>
    </row>
    <row r="19" customFormat="false" ht="15" hidden="false" customHeight="false" outlineLevel="0" collapsed="false">
      <c r="G19" s="18"/>
    </row>
    <row r="20" customFormat="false" ht="15" hidden="false" customHeight="false" outlineLevel="0" collapsed="false">
      <c r="A20" s="12" t="s">
        <v>231</v>
      </c>
      <c r="B20" s="12" t="s">
        <v>232</v>
      </c>
      <c r="G20" s="18"/>
    </row>
    <row r="21" customFormat="false" ht="15" hidden="false" customHeight="false" outlineLevel="0" collapsed="false">
      <c r="B21" s="3" t="s">
        <v>233</v>
      </c>
      <c r="C21" s="4" t="n">
        <f aca="false">Raumprogramm!$B$22</f>
        <v>1680</v>
      </c>
      <c r="D21" s="3" t="s">
        <v>216</v>
      </c>
      <c r="E21" s="16" t="n">
        <v>1100</v>
      </c>
      <c r="F21" s="7" t="n">
        <f aca="false">C21*E21</f>
        <v>1848000</v>
      </c>
      <c r="G21" s="18" t="s">
        <v>234</v>
      </c>
    </row>
    <row r="22" customFormat="false" ht="15" hidden="false" customHeight="false" outlineLevel="0" collapsed="false">
      <c r="B22" s="3" t="s">
        <v>235</v>
      </c>
      <c r="C22" s="16" t="n">
        <v>1</v>
      </c>
      <c r="D22" s="3" t="s">
        <v>236</v>
      </c>
      <c r="E22" s="16" t="n">
        <v>260000</v>
      </c>
      <c r="F22" s="7" t="n">
        <f aca="false">C22*E22</f>
        <v>260000</v>
      </c>
      <c r="G22" s="18" t="s">
        <v>237</v>
      </c>
    </row>
    <row r="23" customFormat="false" ht="15" hidden="false" customHeight="false" outlineLevel="0" collapsed="false">
      <c r="B23" s="3" t="s">
        <v>238</v>
      </c>
      <c r="C23" s="16" t="n">
        <v>1</v>
      </c>
      <c r="D23" s="3" t="s">
        <v>236</v>
      </c>
      <c r="E23" s="16" t="n">
        <v>80000</v>
      </c>
      <c r="F23" s="7" t="n">
        <f aca="false">C23*E23</f>
        <v>80000</v>
      </c>
      <c r="G23" s="18"/>
    </row>
    <row r="24" customFormat="false" ht="15" hidden="false" customHeight="false" outlineLevel="0" collapsed="false">
      <c r="B24" s="3" t="s">
        <v>239</v>
      </c>
      <c r="C24" s="16" t="n">
        <v>1</v>
      </c>
      <c r="D24" s="3" t="s">
        <v>236</v>
      </c>
      <c r="E24" s="16" t="n">
        <v>130000</v>
      </c>
      <c r="F24" s="7" t="n">
        <f aca="false">C24*E24</f>
        <v>130000</v>
      </c>
      <c r="G24" s="18" t="s">
        <v>240</v>
      </c>
    </row>
    <row r="25" customFormat="false" ht="15" hidden="false" customHeight="false" outlineLevel="0" collapsed="false">
      <c r="B25" s="3" t="s">
        <v>241</v>
      </c>
      <c r="C25" s="16" t="n">
        <v>1</v>
      </c>
      <c r="D25" s="3" t="s">
        <v>236</v>
      </c>
      <c r="E25" s="16" t="n">
        <v>220000</v>
      </c>
      <c r="F25" s="7" t="n">
        <f aca="false">C25*E25</f>
        <v>220000</v>
      </c>
      <c r="G25" s="18" t="s">
        <v>242</v>
      </c>
    </row>
    <row r="26" customFormat="false" ht="15" hidden="false" customHeight="false" outlineLevel="0" collapsed="false">
      <c r="B26" s="3" t="s">
        <v>243</v>
      </c>
      <c r="C26" s="16" t="n">
        <v>1</v>
      </c>
      <c r="D26" s="3" t="s">
        <v>236</v>
      </c>
      <c r="E26" s="16" t="n">
        <v>80000</v>
      </c>
      <c r="F26" s="7" t="n">
        <f aca="false">C26*E26</f>
        <v>80000</v>
      </c>
      <c r="G26" s="18"/>
    </row>
    <row r="27" customFormat="false" ht="15" hidden="false" customHeight="false" outlineLevel="0" collapsed="false">
      <c r="B27" s="3" t="s">
        <v>244</v>
      </c>
      <c r="C27" s="16" t="n">
        <v>1</v>
      </c>
      <c r="D27" s="3" t="s">
        <v>236</v>
      </c>
      <c r="E27" s="16" t="n">
        <v>150000</v>
      </c>
      <c r="F27" s="7" t="n">
        <f aca="false">C27*E27</f>
        <v>150000</v>
      </c>
      <c r="G27" s="18" t="s">
        <v>245</v>
      </c>
    </row>
    <row r="28" customFormat="false" ht="15" hidden="false" customHeight="false" outlineLevel="0" collapsed="false">
      <c r="B28" s="12" t="s">
        <v>246</v>
      </c>
      <c r="F28" s="31" t="n">
        <f aca="false">SUM(F21:F27)</f>
        <v>2768000</v>
      </c>
      <c r="G28" s="18"/>
    </row>
    <row r="29" customFormat="false" ht="15" hidden="false" customHeight="false" outlineLevel="0" collapsed="false">
      <c r="G29" s="18"/>
    </row>
    <row r="30" customFormat="false" ht="15" hidden="false" customHeight="false" outlineLevel="0" collapsed="false">
      <c r="A30" s="12" t="s">
        <v>247</v>
      </c>
      <c r="B30" s="12" t="s">
        <v>248</v>
      </c>
      <c r="G30" s="18"/>
    </row>
    <row r="31" customFormat="false" ht="15" hidden="false" customHeight="false" outlineLevel="0" collapsed="false">
      <c r="B31" s="3" t="s">
        <v>249</v>
      </c>
      <c r="C31" s="16" t="n">
        <v>130</v>
      </c>
      <c r="D31" s="3" t="s">
        <v>236</v>
      </c>
      <c r="E31" s="16" t="n">
        <v>900</v>
      </c>
      <c r="F31" s="7" t="n">
        <f aca="false">C31*E31</f>
        <v>117000</v>
      </c>
      <c r="G31" s="18" t="s">
        <v>250</v>
      </c>
    </row>
    <row r="32" customFormat="false" ht="15" hidden="false" customHeight="false" outlineLevel="0" collapsed="false">
      <c r="B32" s="3" t="s">
        <v>251</v>
      </c>
      <c r="C32" s="16" t="n">
        <v>1</v>
      </c>
      <c r="D32" s="3" t="s">
        <v>209</v>
      </c>
      <c r="E32" s="16" t="n">
        <v>180000</v>
      </c>
      <c r="F32" s="7" t="n">
        <f aca="false">C32*E32</f>
        <v>180000</v>
      </c>
      <c r="G32" s="18" t="s">
        <v>252</v>
      </c>
    </row>
    <row r="33" customFormat="false" ht="15" hidden="false" customHeight="false" outlineLevel="0" collapsed="false">
      <c r="B33" s="3" t="s">
        <v>253</v>
      </c>
      <c r="C33" s="16" t="n">
        <v>1</v>
      </c>
      <c r="D33" s="3" t="s">
        <v>209</v>
      </c>
      <c r="E33" s="16" t="n">
        <v>200000</v>
      </c>
      <c r="F33" s="7" t="n">
        <f aca="false">C33*E33</f>
        <v>200000</v>
      </c>
      <c r="G33" s="18"/>
    </row>
    <row r="34" customFormat="false" ht="15" hidden="false" customHeight="false" outlineLevel="0" collapsed="false">
      <c r="B34" s="3" t="s">
        <v>254</v>
      </c>
      <c r="C34" s="16" t="n">
        <v>1</v>
      </c>
      <c r="D34" s="3" t="s">
        <v>209</v>
      </c>
      <c r="E34" s="16" t="n">
        <v>200000</v>
      </c>
      <c r="F34" s="7" t="n">
        <f aca="false">C34*E34</f>
        <v>200000</v>
      </c>
      <c r="G34" s="18" t="s">
        <v>255</v>
      </c>
    </row>
    <row r="35" customFormat="false" ht="15" hidden="false" customHeight="false" outlineLevel="0" collapsed="false">
      <c r="B35" s="12" t="s">
        <v>256</v>
      </c>
      <c r="F35" s="31" t="n">
        <f aca="false">SUM(F31:F34)</f>
        <v>697000</v>
      </c>
      <c r="G35" s="18"/>
    </row>
    <row r="36" customFormat="false" ht="15" hidden="false" customHeight="false" outlineLevel="0" collapsed="false">
      <c r="G36" s="18"/>
    </row>
    <row r="37" customFormat="false" ht="15" hidden="false" customHeight="false" outlineLevel="0" collapsed="false">
      <c r="A37" s="12" t="s">
        <v>257</v>
      </c>
      <c r="B37" s="12" t="s">
        <v>258</v>
      </c>
      <c r="G37" s="18"/>
    </row>
    <row r="38" customFormat="false" ht="15" hidden="false" customHeight="false" outlineLevel="0" collapsed="false">
      <c r="B38" s="3" t="s">
        <v>259</v>
      </c>
      <c r="C38" s="16" t="n">
        <v>1</v>
      </c>
      <c r="D38" s="3" t="s">
        <v>209</v>
      </c>
      <c r="E38" s="16" t="n">
        <v>300000</v>
      </c>
      <c r="F38" s="7" t="n">
        <f aca="false">C38*E38</f>
        <v>300000</v>
      </c>
      <c r="G38" s="18" t="s">
        <v>260</v>
      </c>
    </row>
    <row r="39" customFormat="false" ht="15" hidden="false" customHeight="false" outlineLevel="0" collapsed="false">
      <c r="B39" s="3" t="s">
        <v>261</v>
      </c>
      <c r="C39" s="16" t="n">
        <v>1</v>
      </c>
      <c r="D39" s="3" t="s">
        <v>209</v>
      </c>
      <c r="E39" s="16" t="n">
        <v>250000</v>
      </c>
      <c r="F39" s="7" t="n">
        <f aca="false">C39*E39</f>
        <v>250000</v>
      </c>
      <c r="G39" s="18" t="s">
        <v>262</v>
      </c>
    </row>
    <row r="40" customFormat="false" ht="15" hidden="false" customHeight="false" outlineLevel="0" collapsed="false">
      <c r="B40" s="12" t="s">
        <v>263</v>
      </c>
      <c r="F40" s="31" t="n">
        <f aca="false">SUM(F38:F39)</f>
        <v>550000</v>
      </c>
      <c r="G40" s="18"/>
    </row>
    <row r="41" customFormat="false" ht="15" hidden="false" customHeight="false" outlineLevel="0" collapsed="false">
      <c r="G41" s="18"/>
    </row>
    <row r="42" customFormat="false" ht="15" hidden="false" customHeight="false" outlineLevel="0" collapsed="false">
      <c r="B42" s="12" t="s">
        <v>264</v>
      </c>
      <c r="F42" s="31" t="n">
        <f aca="false">F7+F11+F18+F28+F35+F40</f>
        <v>8410000</v>
      </c>
      <c r="G42" s="18"/>
    </row>
    <row r="43" customFormat="false" ht="15" hidden="false" customHeight="false" outlineLevel="0" collapsed="false">
      <c r="A43" s="12" t="s">
        <v>265</v>
      </c>
      <c r="B43" s="3" t="s">
        <v>266</v>
      </c>
      <c r="E43" s="20" t="n">
        <v>0.15</v>
      </c>
      <c r="F43" s="7" t="n">
        <f aca="false">F42*E43</f>
        <v>1261500</v>
      </c>
      <c r="G43" s="18" t="s">
        <v>267</v>
      </c>
    </row>
    <row r="44" customFormat="false" ht="15" hidden="false" customHeight="false" outlineLevel="0" collapsed="false">
      <c r="A44" s="12" t="s">
        <v>268</v>
      </c>
      <c r="B44" s="3" t="s">
        <v>269</v>
      </c>
      <c r="E44" s="20" t="n">
        <v>0.03</v>
      </c>
      <c r="F44" s="7" t="n">
        <f aca="false">F42*E44</f>
        <v>252300</v>
      </c>
      <c r="G44" s="18" t="s">
        <v>270</v>
      </c>
    </row>
    <row r="45" customFormat="false" ht="15" hidden="false" customHeight="false" outlineLevel="0" collapsed="false">
      <c r="A45" s="12" t="s">
        <v>271</v>
      </c>
      <c r="B45" s="3" t="s">
        <v>272</v>
      </c>
      <c r="E45" s="27" t="n">
        <v>0.12</v>
      </c>
      <c r="F45" s="7" t="n">
        <f aca="false">(F42+F43+F44)*E45</f>
        <v>1190856</v>
      </c>
      <c r="G45" s="18" t="s">
        <v>273</v>
      </c>
    </row>
    <row r="46" customFormat="false" ht="15" hidden="false" customHeight="false" outlineLevel="0" collapsed="false">
      <c r="B46" s="12" t="s">
        <v>274</v>
      </c>
      <c r="F46" s="32" t="n">
        <f aca="false">F42+F43+F44+F45</f>
        <v>11114656</v>
      </c>
      <c r="G46" s="18"/>
    </row>
    <row r="47" customFormat="false" ht="15" hidden="false" customHeight="false" outlineLevel="0" collapsed="false">
      <c r="B47" s="3" t="s">
        <v>275</v>
      </c>
      <c r="F47" s="7" t="n">
        <f aca="false">F46/Raumprogramm!$B$22</f>
        <v>6615.86666666667</v>
      </c>
      <c r="G47" s="18"/>
    </row>
    <row r="48" customFormat="false" ht="15" hidden="false" customHeight="false" outlineLevel="0" collapsed="false">
      <c r="B48" s="3" t="s">
        <v>276</v>
      </c>
      <c r="F48" s="7" t="n">
        <f aca="false">F46/120</f>
        <v>92622.1333333333</v>
      </c>
      <c r="G48" s="18"/>
    </row>
    <row r="49" customFormat="false" ht="15" hidden="false" customHeight="false" outlineLevel="0" collapsed="false">
      <c r="B49" s="3" t="s">
        <v>277</v>
      </c>
      <c r="F49" s="7" t="n">
        <f aca="false">F11+F18+F28</f>
        <v>6863000</v>
      </c>
      <c r="G49" s="18"/>
    </row>
    <row r="50" customFormat="false" ht="15" hidden="false" customHeight="false" outlineLevel="0" collapsed="false">
      <c r="B50" s="3" t="s">
        <v>278</v>
      </c>
      <c r="F50" s="7" t="n">
        <f aca="false">F49/Raumprogramm!$B$22</f>
        <v>4085.11904761905</v>
      </c>
      <c r="G50" s="18"/>
    </row>
    <row r="51" customFormat="false" ht="15" hidden="false" customHeight="false" outlineLevel="0" collapsed="false">
      <c r="G51" s="18"/>
    </row>
    <row r="52" customFormat="false" ht="15" hidden="false" customHeight="false" outlineLevel="0" collapsed="false">
      <c r="B52" s="12" t="s">
        <v>279</v>
      </c>
      <c r="G52" s="18"/>
    </row>
    <row r="53" customFormat="false" ht="15" hidden="false" customHeight="false" outlineLevel="0" collapsed="false">
      <c r="B53" s="3" t="s">
        <v>280</v>
      </c>
      <c r="E53" s="20" t="n">
        <v>0.3</v>
      </c>
      <c r="F53" s="7" t="n">
        <f aca="false">(F15+F16)*E53</f>
        <v>184500</v>
      </c>
      <c r="G53" s="18" t="s">
        <v>281</v>
      </c>
    </row>
    <row r="54" customFormat="false" ht="15" hidden="false" customHeight="false" outlineLevel="0" collapsed="false">
      <c r="B54" s="3" t="s">
        <v>282</v>
      </c>
      <c r="E54" s="27" t="n">
        <v>0.2</v>
      </c>
      <c r="F54" s="7" t="n">
        <f aca="false">F46*E54</f>
        <v>2222931.2</v>
      </c>
      <c r="G54" s="18" t="s">
        <v>283</v>
      </c>
    </row>
    <row r="55" customFormat="false" ht="15" hidden="false" customHeight="false" outlineLevel="0" collapsed="false">
      <c r="B55" s="3" t="s">
        <v>284</v>
      </c>
      <c r="F55" s="16" t="n">
        <v>150000</v>
      </c>
      <c r="G55" s="18" t="s">
        <v>285</v>
      </c>
    </row>
    <row r="56" customFormat="false" ht="15" hidden="false" customHeight="false" outlineLevel="0" collapsed="false">
      <c r="B56" s="12" t="s">
        <v>286</v>
      </c>
      <c r="F56" s="31" t="n">
        <f aca="false">SUM(F53:F55)</f>
        <v>2557431.2</v>
      </c>
      <c r="G56" s="18"/>
    </row>
    <row r="57" customFormat="false" ht="15" hidden="false" customHeight="false" outlineLevel="0" collapsed="false">
      <c r="G57" s="18"/>
    </row>
    <row r="58" customFormat="false" ht="15" hidden="false" customHeight="false" outlineLevel="0" collapsed="false">
      <c r="B58" s="12" t="s">
        <v>287</v>
      </c>
      <c r="F58" s="32" t="n">
        <f aca="false">F46-F56</f>
        <v>8557224.8</v>
      </c>
      <c r="G58" s="18"/>
    </row>
    <row r="59" customFormat="false" ht="15" hidden="false" customHeight="false" outlineLevel="0" collapsed="false">
      <c r="B59" s="3" t="s">
        <v>288</v>
      </c>
      <c r="F59" s="9" t="n">
        <f aca="false">F56/F46</f>
        <v>0.230095398364106</v>
      </c>
      <c r="G59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289</v>
      </c>
    </row>
    <row r="3" customFormat="false" ht="15" hidden="false" customHeight="false" outlineLevel="0" collapsed="false">
      <c r="A3" s="2" t="s">
        <v>201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32</v>
      </c>
    </row>
    <row r="4" customFormat="false" ht="15" hidden="false" customHeight="false" outlineLevel="0" collapsed="false">
      <c r="A4" s="3" t="s">
        <v>290</v>
      </c>
      <c r="B4" s="3" t="s">
        <v>7</v>
      </c>
      <c r="C4" s="7" t="n">
        <f aca="false">Annahmen!$C$8*Annahmen!$C$10</f>
        <v>28700</v>
      </c>
      <c r="D4" s="7" t="n">
        <f aca="false">Annahmen!$D$8*Annahmen!$D$10</f>
        <v>36900</v>
      </c>
      <c r="E4" s="7" t="n">
        <f aca="false">Annahmen!$E$8*Annahmen!$E$10</f>
        <v>44075</v>
      </c>
      <c r="F4" s="7" t="n">
        <f aca="false">INDEX(C4:E4,1,Annahmen!$C$4)</f>
        <v>36900</v>
      </c>
    </row>
    <row r="5" customFormat="false" ht="15" hidden="false" customHeight="false" outlineLevel="0" collapsed="false">
      <c r="A5" s="3" t="s">
        <v>291</v>
      </c>
      <c r="B5" s="3" t="s">
        <v>7</v>
      </c>
      <c r="C5" s="7" t="n">
        <f aca="false">Annahmen!$C$9*Annahmen!$C$11</f>
        <v>7300</v>
      </c>
      <c r="D5" s="7" t="n">
        <f aca="false">Annahmen!$D$9*Annahmen!$D$11</f>
        <v>10220</v>
      </c>
      <c r="E5" s="7" t="n">
        <f aca="false">Annahmen!$E$9*Annahmen!$E$11</f>
        <v>13140</v>
      </c>
      <c r="F5" s="7" t="n">
        <f aca="false">INDEX(C5:E5,1,Annahmen!$C$4)</f>
        <v>10220</v>
      </c>
    </row>
    <row r="6" customFormat="false" ht="15" hidden="false" customHeight="false" outlineLevel="0" collapsed="false">
      <c r="A6" s="12" t="s">
        <v>292</v>
      </c>
      <c r="B6" s="3" t="s">
        <v>7</v>
      </c>
      <c r="C6" s="31" t="n">
        <f aca="false">C4+C5</f>
        <v>36000</v>
      </c>
      <c r="D6" s="31" t="n">
        <f aca="false">D4+D5</f>
        <v>47120</v>
      </c>
      <c r="E6" s="31" t="n">
        <f aca="false">E4+E5</f>
        <v>57215</v>
      </c>
      <c r="F6" s="31" t="n">
        <f aca="false">INDEX(C6:E6,1,Annahmen!$C$4)</f>
        <v>47120</v>
      </c>
    </row>
    <row r="7" customFormat="false" ht="15" hidden="false" customHeight="false" outlineLevel="0" collapsed="false">
      <c r="A7" s="3" t="s">
        <v>293</v>
      </c>
      <c r="B7" s="3" t="s">
        <v>17</v>
      </c>
      <c r="C7" s="9" t="n">
        <f aca="false">Annahmen!$C$10/Annahmen!$C$12</f>
        <v>0.466666666666667</v>
      </c>
      <c r="D7" s="9" t="n">
        <f aca="false">Annahmen!$D$10/Annahmen!$D$12</f>
        <v>0.6</v>
      </c>
      <c r="E7" s="9" t="n">
        <f aca="false">Annahmen!$E$10/Annahmen!$E$12</f>
        <v>0.716666666666667</v>
      </c>
      <c r="F7" s="9" t="n">
        <f aca="false">INDEX(C7:E7,1,Annahmen!$C$4)</f>
        <v>0.6</v>
      </c>
    </row>
    <row r="8" customFormat="false" ht="15" hidden="false" customHeight="false" outlineLevel="0" collapsed="false">
      <c r="A8" s="3" t="s">
        <v>294</v>
      </c>
      <c r="B8" s="3" t="s">
        <v>11</v>
      </c>
      <c r="C8" s="24" t="n">
        <f aca="false">(Annahmen!$C$16*Annahmen!$C$14+(1-Annahmen!$C$16)*Annahmen!$C$15)*(1-Annahmen!$C$17)</f>
        <v>25.6275</v>
      </c>
      <c r="D8" s="24" t="n">
        <f aca="false">(Annahmen!$D$16*Annahmen!$D$14+(1-Annahmen!$D$16)*Annahmen!$D$15)*(1-Annahmen!$D$17)</f>
        <v>28.776</v>
      </c>
      <c r="E8" s="24" t="n">
        <f aca="false">(Annahmen!$E$16*Annahmen!$E$14+(1-Annahmen!$E$16)*Annahmen!$E$15)*(1-Annahmen!$E$17)</f>
        <v>31.725</v>
      </c>
      <c r="F8" s="24" t="n">
        <f aca="false">INDEX(C8:E8,1,Annahmen!$C$4)</f>
        <v>28.776</v>
      </c>
    </row>
    <row r="9" customFormat="false" ht="15" hidden="false" customHeight="false" outlineLevel="0" collapsed="false">
      <c r="A9" s="3" t="s">
        <v>295</v>
      </c>
      <c r="B9" s="3" t="s">
        <v>11</v>
      </c>
      <c r="C9" s="24" t="n">
        <f aca="false">C8/(1+Annahmen!$C$18)</f>
        <v>22.679203539823</v>
      </c>
      <c r="D9" s="24" t="n">
        <f aca="false">D8/(1+Annahmen!$D$18)</f>
        <v>25.4654867256637</v>
      </c>
      <c r="E9" s="24" t="n">
        <f aca="false">E8/(1+Annahmen!$E$18)</f>
        <v>28.0752212389381</v>
      </c>
      <c r="F9" s="24" t="n">
        <f aca="false">INDEX(C9:E9,1,Annahmen!$C$4)</f>
        <v>25.4654867256637</v>
      </c>
    </row>
    <row r="11" customFormat="false" ht="15" hidden="false" customHeight="false" outlineLevel="0" collapsed="false">
      <c r="A11" s="3" t="s">
        <v>296</v>
      </c>
      <c r="B11" s="3" t="s">
        <v>11</v>
      </c>
      <c r="C11" s="7" t="n">
        <f aca="false">C6*C9</f>
        <v>816451.327433628</v>
      </c>
      <c r="D11" s="7" t="n">
        <f aca="false">D6*D9</f>
        <v>1199933.73451327</v>
      </c>
      <c r="E11" s="7" t="n">
        <f aca="false">E6*E9</f>
        <v>1606323.78318584</v>
      </c>
      <c r="F11" s="7" t="n">
        <f aca="false">INDEX(C11:E11,1,Annahmen!$C$4)</f>
        <v>1199933.73451327</v>
      </c>
    </row>
    <row r="12" customFormat="false" ht="15" hidden="false" customHeight="false" outlineLevel="0" collapsed="false">
      <c r="A12" s="3" t="s">
        <v>297</v>
      </c>
      <c r="B12" s="3" t="s">
        <v>11</v>
      </c>
      <c r="C12" s="7" t="n">
        <f aca="false">C6*Annahmen!$C$20/(1+Annahmen!$C$21)</f>
        <v>344347.826086957</v>
      </c>
      <c r="D12" s="7" t="n">
        <f aca="false">D6*Annahmen!$D$20/(1+Annahmen!$D$21)</f>
        <v>512173.913043478</v>
      </c>
      <c r="E12" s="7" t="n">
        <f aca="false">E6*Annahmen!$E$20/(1+Annahmen!$E$21)</f>
        <v>696530.434782609</v>
      </c>
      <c r="F12" s="7" t="n">
        <f aca="false">INDEX(C12:E12,1,Annahmen!$C$4)</f>
        <v>512173.913043478</v>
      </c>
    </row>
    <row r="13" customFormat="false" ht="15" hidden="false" customHeight="false" outlineLevel="0" collapsed="false">
      <c r="A13" s="3" t="s">
        <v>298</v>
      </c>
      <c r="B13" s="3" t="s">
        <v>11</v>
      </c>
      <c r="C13" s="4" t="n">
        <f aca="false">Annahmen!$C$23</f>
        <v>45000</v>
      </c>
      <c r="D13" s="4" t="n">
        <f aca="false">Annahmen!$D$23</f>
        <v>60000</v>
      </c>
      <c r="E13" s="4" t="n">
        <f aca="false">Annahmen!$E$23</f>
        <v>75000</v>
      </c>
      <c r="F13" s="7" t="n">
        <f aca="false">INDEX(C13:E13,1,Annahmen!$C$4)</f>
        <v>60000</v>
      </c>
    </row>
    <row r="14" customFormat="false" ht="15" hidden="false" customHeight="false" outlineLevel="0" collapsed="false">
      <c r="A14" s="3" t="s">
        <v>299</v>
      </c>
      <c r="B14" s="3" t="s">
        <v>11</v>
      </c>
      <c r="C14" s="7" t="n">
        <f aca="false">Annahmen!$C$25*Annahmen!$C$26/(1+Annahmen!$C$27)*Annahmen!$C$28</f>
        <v>46875</v>
      </c>
      <c r="D14" s="7" t="n">
        <f aca="false">Annahmen!$D$25*Annahmen!$D$26/(1+Annahmen!$D$27)*Annahmen!$D$28</f>
        <v>62500</v>
      </c>
      <c r="E14" s="7" t="n">
        <f aca="false">Annahmen!$E$25*Annahmen!$E$26/(1+Annahmen!$E$27)*Annahmen!$E$28</f>
        <v>78125</v>
      </c>
      <c r="F14" s="7" t="n">
        <f aca="false">INDEX(C14:E14,1,Annahmen!$C$4)</f>
        <v>62500</v>
      </c>
    </row>
    <row r="15" customFormat="false" ht="15" hidden="false" customHeight="false" outlineLevel="0" collapsed="false">
      <c r="A15" s="3" t="s">
        <v>300</v>
      </c>
      <c r="B15" s="3" t="s">
        <v>11</v>
      </c>
      <c r="C15" s="7" t="n">
        <f aca="false">Annahmen!$C$29*Annahmen!$C$30</f>
        <v>62500</v>
      </c>
      <c r="D15" s="7" t="n">
        <f aca="false">Annahmen!$D$29*Annahmen!$D$30</f>
        <v>100000</v>
      </c>
      <c r="E15" s="7" t="n">
        <f aca="false">Annahmen!$E$29*Annahmen!$E$30</f>
        <v>137500</v>
      </c>
      <c r="F15" s="7" t="n">
        <f aca="false">INDEX(C15:E15,1,Annahmen!$C$4)</f>
        <v>100000</v>
      </c>
    </row>
    <row r="16" customFormat="false" ht="15" hidden="false" customHeight="false" outlineLevel="0" collapsed="false">
      <c r="A16" s="12" t="s">
        <v>301</v>
      </c>
      <c r="B16" s="3" t="s">
        <v>11</v>
      </c>
      <c r="C16" s="31" t="n">
        <f aca="false">SUM(C11:C15)</f>
        <v>1315174.15352059</v>
      </c>
      <c r="D16" s="31" t="n">
        <f aca="false">SUM(D11:D15)</f>
        <v>1934607.64755675</v>
      </c>
      <c r="E16" s="31" t="n">
        <f aca="false">SUM(E11:E15)</f>
        <v>2593479.21796845</v>
      </c>
      <c r="F16" s="31" t="n">
        <f aca="false">INDEX(C16:E16,1,Annahmen!$C$4)</f>
        <v>1934607.64755675</v>
      </c>
    </row>
    <row r="17" customFormat="false" ht="15" hidden="false" customHeight="false" outlineLevel="0" collapsed="false">
      <c r="A17" s="3" t="s">
        <v>12</v>
      </c>
      <c r="B17" s="3" t="s">
        <v>11</v>
      </c>
      <c r="C17" s="24" t="n">
        <f aca="false">C16/C6</f>
        <v>36.5326153755718</v>
      </c>
      <c r="D17" s="24" t="n">
        <f aca="false">D16/D6</f>
        <v>41.0570383607121</v>
      </c>
      <c r="E17" s="24" t="n">
        <f aca="false">E16/E6</f>
        <v>45.3286588826086</v>
      </c>
      <c r="F17" s="24" t="n">
        <f aca="false">INDEX(C17:E17,1,Annahmen!$C$4)</f>
        <v>41.0570383607121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302</v>
      </c>
    </row>
    <row r="3" customFormat="false" ht="15" hidden="false" customHeight="false" outlineLevel="0" collapsed="false">
      <c r="A3" s="2" t="s">
        <v>201</v>
      </c>
      <c r="B3" s="2" t="s">
        <v>303</v>
      </c>
      <c r="C3" s="2" t="s">
        <v>3</v>
      </c>
      <c r="D3" s="2" t="s">
        <v>4</v>
      </c>
      <c r="E3" s="2" t="s">
        <v>5</v>
      </c>
      <c r="F3" s="2" t="s">
        <v>32</v>
      </c>
    </row>
    <row r="4" customFormat="false" ht="15" hidden="false" customHeight="false" outlineLevel="0" collapsed="false">
      <c r="A4" s="3" t="s">
        <v>304</v>
      </c>
      <c r="B4" s="3" t="s">
        <v>305</v>
      </c>
      <c r="C4" s="7" t="n">
        <f aca="false">Umsatz!C12*Annahmen!$C$22</f>
        <v>110191.304347826</v>
      </c>
      <c r="D4" s="7" t="n">
        <f aca="false">Umsatz!D12*Annahmen!$D$22</f>
        <v>163895.652173913</v>
      </c>
      <c r="E4" s="7" t="n">
        <f aca="false">Umsatz!E12*Annahmen!$E$22</f>
        <v>222889.739130435</v>
      </c>
      <c r="F4" s="7" t="n">
        <f aca="false">INDEX(C4:E4,1,Annahmen!$C$4)</f>
        <v>163895.652173913</v>
      </c>
    </row>
    <row r="5" customFormat="false" ht="15" hidden="false" customHeight="false" outlineLevel="0" collapsed="false">
      <c r="A5" s="3" t="s">
        <v>306</v>
      </c>
      <c r="B5" s="3" t="s">
        <v>305</v>
      </c>
      <c r="C5" s="7" t="n">
        <f aca="false">Umsatz!C13*Annahmen!$C$24</f>
        <v>18000</v>
      </c>
      <c r="D5" s="7" t="n">
        <f aca="false">Umsatz!D13*Annahmen!$D$24</f>
        <v>24000</v>
      </c>
      <c r="E5" s="7" t="n">
        <f aca="false">Umsatz!E13*Annahmen!$E$24</f>
        <v>30000</v>
      </c>
      <c r="F5" s="7" t="n">
        <f aca="false">INDEX(C5:E5,1,Annahmen!$C$4)</f>
        <v>24000</v>
      </c>
    </row>
    <row r="6" customFormat="false" ht="15" hidden="false" customHeight="false" outlineLevel="0" collapsed="false">
      <c r="A6" s="3" t="s">
        <v>307</v>
      </c>
      <c r="B6" s="3" t="s">
        <v>308</v>
      </c>
      <c r="C6" s="7" t="n">
        <f aca="false">Annahmen!$C$32*Annahmen!$C$33</f>
        <v>1092000</v>
      </c>
      <c r="D6" s="7" t="n">
        <f aca="false">Annahmen!$D$32*Annahmen!$D$33</f>
        <v>1040000</v>
      </c>
      <c r="E6" s="7" t="n">
        <f aca="false">Annahmen!$E$32*Annahmen!$E$33</f>
        <v>1040000</v>
      </c>
      <c r="F6" s="7" t="n">
        <f aca="false">INDEX(C6:E6,1,Annahmen!$C$4)</f>
        <v>1040000</v>
      </c>
    </row>
    <row r="7" customFormat="false" ht="15" hidden="false" customHeight="false" outlineLevel="0" collapsed="false">
      <c r="A7" s="3" t="s">
        <v>309</v>
      </c>
      <c r="B7" s="3" t="s">
        <v>308</v>
      </c>
      <c r="C7" s="7" t="n">
        <f aca="false">Annahmen!$C$34</f>
        <v>220000</v>
      </c>
      <c r="D7" s="7" t="n">
        <f aca="false">Annahmen!$D$34</f>
        <v>180000</v>
      </c>
      <c r="E7" s="7" t="n">
        <f aca="false">Annahmen!$E$34</f>
        <v>160000</v>
      </c>
      <c r="F7" s="7" t="n">
        <f aca="false">INDEX(C7:E7,1,Annahmen!$C$4)</f>
        <v>180000</v>
      </c>
    </row>
    <row r="8" customFormat="false" ht="15" hidden="false" customHeight="false" outlineLevel="0" collapsed="false">
      <c r="A8" s="3" t="s">
        <v>111</v>
      </c>
      <c r="B8" s="3" t="s">
        <v>308</v>
      </c>
      <c r="C8" s="7" t="n">
        <f aca="false">Annahmen!$C$35</f>
        <v>40000</v>
      </c>
      <c r="D8" s="7" t="n">
        <f aca="false">Annahmen!$D$35</f>
        <v>40000</v>
      </c>
      <c r="E8" s="7" t="n">
        <f aca="false">Annahmen!$E$35</f>
        <v>40000</v>
      </c>
      <c r="F8" s="7" t="n">
        <f aca="false">INDEX(C8:E8,1,Annahmen!$C$4)</f>
        <v>40000</v>
      </c>
    </row>
    <row r="9" customFormat="false" ht="15" hidden="false" customHeight="false" outlineLevel="0" collapsed="false">
      <c r="A9" s="3" t="s">
        <v>310</v>
      </c>
      <c r="B9" s="3" t="s">
        <v>305</v>
      </c>
      <c r="C9" s="7" t="n">
        <f aca="false">Umsatz!C6*Annahmen!$C$36</f>
        <v>79200</v>
      </c>
      <c r="D9" s="7" t="n">
        <f aca="false">Umsatz!D6*Annahmen!$D$36</f>
        <v>103664</v>
      </c>
      <c r="E9" s="7" t="n">
        <f aca="false">Umsatz!E6*Annahmen!$E$36</f>
        <v>125873</v>
      </c>
      <c r="F9" s="7" t="n">
        <f aca="false">INDEX(C9:E9,1,Annahmen!$C$4)</f>
        <v>103664</v>
      </c>
    </row>
    <row r="10" customFormat="false" ht="15" hidden="false" customHeight="false" outlineLevel="0" collapsed="false">
      <c r="A10" s="3" t="s">
        <v>311</v>
      </c>
      <c r="B10" s="3" t="s">
        <v>305</v>
      </c>
      <c r="C10" s="7" t="n">
        <f aca="false">Umsatz!C16*Annahmen!$C$37</f>
        <v>52606.9661408234</v>
      </c>
      <c r="D10" s="7" t="n">
        <f aca="false">Umsatz!D16*Annahmen!$D$37</f>
        <v>77384.3059022701</v>
      </c>
      <c r="E10" s="7" t="n">
        <f aca="false">Umsatz!E16*Annahmen!$E$37</f>
        <v>103739.168718738</v>
      </c>
      <c r="F10" s="7" t="n">
        <f aca="false">INDEX(C10:E10,1,Annahmen!$C$4)</f>
        <v>77384.3059022701</v>
      </c>
    </row>
    <row r="11" customFormat="false" ht="15" hidden="false" customHeight="false" outlineLevel="0" collapsed="false">
      <c r="A11" s="3" t="s">
        <v>312</v>
      </c>
      <c r="B11" s="3" t="s">
        <v>305</v>
      </c>
      <c r="C11" s="7" t="n">
        <f aca="false">Umsatz!C16*Annahmen!$C$38</f>
        <v>26303.4830704117</v>
      </c>
      <c r="D11" s="7" t="n">
        <f aca="false">Umsatz!D16*Annahmen!$D$38</f>
        <v>38692.1529511351</v>
      </c>
      <c r="E11" s="7" t="n">
        <f aca="false">Umsatz!E16*Annahmen!$E$38</f>
        <v>51869.584359369</v>
      </c>
      <c r="F11" s="7" t="n">
        <f aca="false">INDEX(C11:E11,1,Annahmen!$C$4)</f>
        <v>38692.1529511351</v>
      </c>
    </row>
    <row r="12" customFormat="false" ht="15" hidden="false" customHeight="false" outlineLevel="0" collapsed="false">
      <c r="A12" s="3" t="s">
        <v>313</v>
      </c>
      <c r="B12" s="3" t="s">
        <v>308</v>
      </c>
      <c r="C12" s="7" t="n">
        <f aca="false">Annahmen!$C$39</f>
        <v>85000</v>
      </c>
      <c r="D12" s="7" t="n">
        <f aca="false">Annahmen!$D$39</f>
        <v>85000</v>
      </c>
      <c r="E12" s="7" t="n">
        <f aca="false">Annahmen!$E$39</f>
        <v>85000</v>
      </c>
      <c r="F12" s="7" t="n">
        <f aca="false">INDEX(C12:E12,1,Annahmen!$C$4)</f>
        <v>85000</v>
      </c>
    </row>
    <row r="13" customFormat="false" ht="15" hidden="false" customHeight="false" outlineLevel="0" collapsed="false">
      <c r="A13" s="12" t="s">
        <v>314</v>
      </c>
      <c r="B13" s="3"/>
      <c r="C13" s="31" t="n">
        <f aca="false">SUM(C4:C12)</f>
        <v>1723301.75355906</v>
      </c>
      <c r="D13" s="31" t="n">
        <f aca="false">SUM(D4:D12)</f>
        <v>1752636.11102732</v>
      </c>
      <c r="E13" s="31" t="n">
        <f aca="false">SUM(E4:E12)</f>
        <v>1859371.49220854</v>
      </c>
      <c r="F13" s="31" t="n">
        <f aca="false">INDEX(C13:E13,1,Annahmen!$C$4)</f>
        <v>1752636.11102732</v>
      </c>
    </row>
    <row r="14" customFormat="false" ht="15" hidden="false" customHeight="false" outlineLevel="0" collapsed="false">
      <c r="A14" s="12" t="s">
        <v>315</v>
      </c>
      <c r="B14" s="3"/>
      <c r="C14" s="31" t="n">
        <f aca="false">Umsatz!C16-C13</f>
        <v>-408127.600038476</v>
      </c>
      <c r="D14" s="31" t="n">
        <f aca="false">Umsatz!D16-D13</f>
        <v>181971.536529435</v>
      </c>
      <c r="E14" s="31" t="n">
        <f aca="false">Umsatz!E16-E13</f>
        <v>734107.725759908</v>
      </c>
      <c r="F14" s="31" t="n">
        <f aca="false">INDEX(C14:E14,1,Annahmen!$C$4)</f>
        <v>181971.536529435</v>
      </c>
    </row>
    <row r="15" customFormat="false" ht="15" hidden="false" customHeight="false" outlineLevel="0" collapsed="false">
      <c r="A15" s="12" t="s">
        <v>14</v>
      </c>
      <c r="B15" s="3"/>
      <c r="C15" s="31" t="n">
        <f aca="false">MAX(Annahmen!$C$42,Annahmen!$C$41*Umsatz!C16)</f>
        <v>150000</v>
      </c>
      <c r="D15" s="31" t="n">
        <f aca="false">MAX(Annahmen!$D$42,Annahmen!$D$41*Umsatz!D16)</f>
        <v>193460.764755675</v>
      </c>
      <c r="E15" s="31" t="n">
        <f aca="false">MAX(Annahmen!$E$42,Annahmen!$E$41*Umsatz!E16)</f>
        <v>259347.921796845</v>
      </c>
      <c r="F15" s="31" t="n">
        <f aca="false">INDEX(C15:E15,1,Annahmen!$C$4)</f>
        <v>193460.764755675</v>
      </c>
    </row>
    <row r="16" customFormat="false" ht="15" hidden="false" customHeight="false" outlineLevel="0" collapsed="false">
      <c r="A16" s="12" t="s">
        <v>316</v>
      </c>
      <c r="B16" s="3"/>
      <c r="C16" s="31" t="n">
        <f aca="false">C14-C15</f>
        <v>-558127.600038476</v>
      </c>
      <c r="D16" s="31" t="n">
        <f aca="false">D14-D15</f>
        <v>-11489.2282262407</v>
      </c>
      <c r="E16" s="31" t="n">
        <f aca="false">E14-E15</f>
        <v>474759.803963063</v>
      </c>
      <c r="F16" s="31" t="n">
        <f aca="false">INDEX(C16:E16,1,Annahmen!$C$4)</f>
        <v>-11489.2282262407</v>
      </c>
    </row>
    <row r="18" customFormat="false" ht="15" hidden="false" customHeight="false" outlineLevel="0" collapsed="false">
      <c r="A18" s="3" t="s">
        <v>16</v>
      </c>
      <c r="B18" s="3" t="s">
        <v>17</v>
      </c>
      <c r="C18" s="9" t="n">
        <f aca="false">C16/Umsatz!C16</f>
        <v>-0.424375432367209</v>
      </c>
      <c r="D18" s="9" t="n">
        <f aca="false">D16/Umsatz!D16</f>
        <v>-0.00593878983201096</v>
      </c>
      <c r="E18" s="9" t="n">
        <f aca="false">E16/Umsatz!E16</f>
        <v>0.183059035396843</v>
      </c>
      <c r="F18" s="9" t="n">
        <f aca="false">INDEX(C18:E18,1,Annahmen!$C$4)</f>
        <v>-0.00593878983201096</v>
      </c>
    </row>
    <row r="19" customFormat="false" ht="15" hidden="false" customHeight="false" outlineLevel="0" collapsed="false">
      <c r="A19" s="3" t="s">
        <v>317</v>
      </c>
      <c r="B19" s="3" t="s">
        <v>17</v>
      </c>
      <c r="C19" s="9" t="n">
        <f aca="false">C6/Umsatz!C16</f>
        <v>0.8303082881281</v>
      </c>
      <c r="D19" s="9" t="n">
        <f aca="false">D6/Umsatz!D16</f>
        <v>0.537576702600878</v>
      </c>
      <c r="E19" s="9" t="n">
        <f aca="false">E6/Umsatz!E16</f>
        <v>0.401005719573363</v>
      </c>
      <c r="F19" s="9" t="n">
        <f aca="false">INDEX(C19:E19,1,Annahmen!$C$4)</f>
        <v>0.537576702600878</v>
      </c>
    </row>
    <row r="20" customFormat="false" ht="15" hidden="false" customHeight="false" outlineLevel="0" collapsed="false">
      <c r="A20" s="3" t="s">
        <v>318</v>
      </c>
      <c r="B20" s="3" t="s">
        <v>17</v>
      </c>
      <c r="C20" s="9" t="n">
        <f aca="false">C7/Umsatz!C16</f>
        <v>0.167278226545954</v>
      </c>
      <c r="D20" s="9" t="n">
        <f aca="false">D7/Umsatz!D16</f>
        <v>0.0930421216039981</v>
      </c>
      <c r="E20" s="9" t="n">
        <f aca="false">E7/Umsatz!E16</f>
        <v>0.0616931876266712</v>
      </c>
      <c r="F20" s="9" t="n">
        <f aca="false">INDEX(C20:E20,1,Annahmen!$C$4)</f>
        <v>0.0930421216039981</v>
      </c>
    </row>
    <row r="21" customFormat="false" ht="15" hidden="false" customHeight="false" outlineLevel="0" collapsed="false">
      <c r="A21" s="3" t="s">
        <v>319</v>
      </c>
      <c r="B21" s="3" t="s">
        <v>17</v>
      </c>
      <c r="C21" s="9" t="n">
        <f aca="false">C15/Umsatz!C16</f>
        <v>0.114053336281332</v>
      </c>
      <c r="D21" s="9" t="n">
        <f aca="false">D15/Umsatz!D16</f>
        <v>0.1</v>
      </c>
      <c r="E21" s="9" t="n">
        <f aca="false">E15/Umsatz!E16</f>
        <v>0.1</v>
      </c>
      <c r="F21" s="9" t="n">
        <f aca="false">INDEX(C21:E21,1,Annahmen!$C$4)</f>
        <v>0.1</v>
      </c>
    </row>
    <row r="22" customFormat="false" ht="15" hidden="false" customHeight="false" outlineLevel="0" collapsed="false">
      <c r="A22" s="3" t="s">
        <v>320</v>
      </c>
      <c r="B22" s="3"/>
      <c r="C22" s="7" t="n">
        <f aca="false">C6+C7+C8+C12</f>
        <v>1437000</v>
      </c>
      <c r="D22" s="7" t="n">
        <f aca="false">D6+D7+D8+D12</f>
        <v>1345000</v>
      </c>
      <c r="E22" s="7" t="n">
        <f aca="false">E6+E7+E8+E12</f>
        <v>1325000</v>
      </c>
      <c r="F22" s="7" t="n">
        <f aca="false">INDEX(C22:E22,1,Annahmen!$C$4)</f>
        <v>1345000</v>
      </c>
    </row>
    <row r="23" customFormat="false" ht="15" hidden="false" customHeight="false" outlineLevel="0" collapsed="false">
      <c r="A23" s="3" t="s">
        <v>321</v>
      </c>
      <c r="B23" s="3" t="s">
        <v>11</v>
      </c>
      <c r="C23" s="24" t="n">
        <f aca="false">(Umsatz!C16*(1-Annahmen!$C$41)-C4-C5-C9-C10-C11)/Umsatz!C6</f>
        <v>24.9265273502629</v>
      </c>
      <c r="D23" s="24" t="n">
        <f aca="false">(Umsatz!D16*(1-Annahmen!$D$41)-D4-D5-D9-D10-D11)/Umsatz!D6</f>
        <v>28.3003134926519</v>
      </c>
      <c r="E23" s="24" t="n">
        <f aca="false">(Umsatz!E16*(1-Annahmen!$E$41)-E4-E5-E9-E10-E11)/Umsatz!E6</f>
        <v>31.4560832642325</v>
      </c>
      <c r="F23" s="24" t="n">
        <f aca="false">INDEX(C23:E23,1,Annahmen!$C$4)</f>
        <v>28.3003134926519</v>
      </c>
    </row>
    <row r="24" customFormat="false" ht="15" hidden="false" customHeight="false" outlineLevel="0" collapsed="false">
      <c r="A24" s="3" t="s">
        <v>322</v>
      </c>
      <c r="B24" s="3" t="s">
        <v>7</v>
      </c>
      <c r="C24" s="7" t="n">
        <f aca="false">C22/C23</f>
        <v>57649.426244079</v>
      </c>
      <c r="D24" s="7" t="n">
        <f aca="false">D22/D23</f>
        <v>47525.9752987974</v>
      </c>
      <c r="E24" s="7" t="n">
        <f aca="false">E22/E23</f>
        <v>42122.2181054755</v>
      </c>
      <c r="F24" s="7" t="n">
        <f aca="false">INDEX(C24:E24,1,Annahmen!$C$4)</f>
        <v>47525.9752987974</v>
      </c>
    </row>
    <row r="25" customFormat="false" ht="15" hidden="false" customHeight="false" outlineLevel="0" collapsed="false">
      <c r="A25" s="3" t="s">
        <v>323</v>
      </c>
      <c r="B25" s="3" t="s">
        <v>17</v>
      </c>
      <c r="C25" s="9" t="n">
        <f aca="false">C24/Umsatz!C6</f>
        <v>1.60137295122442</v>
      </c>
      <c r="D25" s="9" t="n">
        <f aca="false">D24/Umsatz!D6</f>
        <v>1.00861577459248</v>
      </c>
      <c r="E25" s="9" t="n">
        <f aca="false">E24/Umsatz!E6</f>
        <v>0.736209352538242</v>
      </c>
      <c r="F25" s="9" t="n">
        <f aca="false">INDEX(C25:E25,1,Annahmen!$C$4)</f>
        <v>1.00861577459248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1" t="s">
        <v>324</v>
      </c>
    </row>
    <row r="2" customFormat="false" ht="15" hidden="false" customHeight="false" outlineLevel="0" collapsed="false">
      <c r="A2" s="12" t="str">
        <f aca="false">"Szenario: "&amp;Annahmen!D4</f>
        <v>Szenario: Basis</v>
      </c>
    </row>
    <row r="4" customFormat="false" ht="15" hidden="false" customHeight="false" outlineLevel="0" collapsed="false">
      <c r="A4" s="2" t="s">
        <v>11</v>
      </c>
      <c r="B4" s="2" t="s">
        <v>325</v>
      </c>
      <c r="C4" s="2" t="s">
        <v>326</v>
      </c>
      <c r="D4" s="2" t="s">
        <v>327</v>
      </c>
      <c r="E4" s="2" t="s">
        <v>328</v>
      </c>
      <c r="F4" s="2" t="s">
        <v>329</v>
      </c>
      <c r="G4" s="2" t="s">
        <v>330</v>
      </c>
      <c r="H4" s="2" t="s">
        <v>331</v>
      </c>
      <c r="I4" s="2" t="s">
        <v>332</v>
      </c>
      <c r="J4" s="2" t="s">
        <v>333</v>
      </c>
      <c r="K4" s="2" t="s">
        <v>334</v>
      </c>
    </row>
    <row r="5" customFormat="false" ht="15" hidden="false" customHeight="false" outlineLevel="0" collapsed="false">
      <c r="A5" s="3" t="s">
        <v>335</v>
      </c>
      <c r="B5" s="33" t="str">
        <f aca="false">TEXT(Annahmen!$F$50+0,"0")</f>
        <v>2029</v>
      </c>
      <c r="C5" s="33" t="str">
        <f aca="false">TEXT(Annahmen!$F$50+1,"0")</f>
        <v>2030</v>
      </c>
      <c r="D5" s="33" t="str">
        <f aca="false">TEXT(Annahmen!$F$50+2,"0")</f>
        <v>2031</v>
      </c>
      <c r="E5" s="33" t="str">
        <f aca="false">TEXT(Annahmen!$F$50+3,"0")</f>
        <v>2032</v>
      </c>
      <c r="F5" s="33" t="str">
        <f aca="false">TEXT(Annahmen!$F$50+4,"0")</f>
        <v>2033</v>
      </c>
      <c r="G5" s="33" t="str">
        <f aca="false">TEXT(Annahmen!$F$50+5,"0")</f>
        <v>2034</v>
      </c>
      <c r="H5" s="33" t="str">
        <f aca="false">TEXT(Annahmen!$F$50+6,"0")</f>
        <v>2035</v>
      </c>
      <c r="I5" s="33" t="str">
        <f aca="false">TEXT(Annahmen!$F$50+7,"0")</f>
        <v>2036</v>
      </c>
      <c r="J5" s="33" t="str">
        <f aca="false">TEXT(Annahmen!$F$50+8,"0")</f>
        <v>2037</v>
      </c>
      <c r="K5" s="33" t="str">
        <f aca="false">TEXT(Annahmen!$F$50+9,"0")</f>
        <v>2038</v>
      </c>
    </row>
    <row r="6" customFormat="false" ht="15" hidden="false" customHeight="false" outlineLevel="0" collapsed="false">
      <c r="A6" s="3" t="s">
        <v>336</v>
      </c>
      <c r="B6" s="9" t="n">
        <f aca="false">Annahmen!$F$51</f>
        <v>0.75</v>
      </c>
      <c r="C6" s="9" t="n">
        <f aca="false">Annahmen!$F$52</f>
        <v>0.9</v>
      </c>
      <c r="D6" s="9" t="n">
        <f aca="false">1</f>
        <v>1</v>
      </c>
      <c r="E6" s="9" t="n">
        <f aca="false">1</f>
        <v>1</v>
      </c>
      <c r="F6" s="9" t="n">
        <f aca="false">1</f>
        <v>1</v>
      </c>
      <c r="G6" s="9" t="n">
        <f aca="false">1</f>
        <v>1</v>
      </c>
      <c r="H6" s="9" t="n">
        <f aca="false">1</f>
        <v>1</v>
      </c>
      <c r="I6" s="9" t="n">
        <f aca="false">1</f>
        <v>1</v>
      </c>
      <c r="J6" s="9" t="n">
        <f aca="false">1</f>
        <v>1</v>
      </c>
      <c r="K6" s="9" t="n">
        <f aca="false">1</f>
        <v>1</v>
      </c>
    </row>
    <row r="7" customFormat="false" ht="15" hidden="false" customHeight="false" outlineLevel="0" collapsed="false">
      <c r="A7" s="3" t="s">
        <v>337</v>
      </c>
      <c r="B7" s="24" t="n">
        <f aca="false">(1+Annahmen!$F$53)^0</f>
        <v>1</v>
      </c>
      <c r="C7" s="24" t="n">
        <f aca="false">(1+Annahmen!$F$53)^1</f>
        <v>1.025</v>
      </c>
      <c r="D7" s="24" t="n">
        <f aca="false">(1+Annahmen!$F$53)^2</f>
        <v>1.050625</v>
      </c>
      <c r="E7" s="24" t="n">
        <f aca="false">(1+Annahmen!$F$53)^3</f>
        <v>1.076890625</v>
      </c>
      <c r="F7" s="24" t="n">
        <f aca="false">(1+Annahmen!$F$53)^4</f>
        <v>1.103812890625</v>
      </c>
      <c r="G7" s="24" t="n">
        <f aca="false">(1+Annahmen!$F$53)^5</f>
        <v>1.13140821289062</v>
      </c>
      <c r="H7" s="24" t="n">
        <f aca="false">(1+Annahmen!$F$53)^6</f>
        <v>1.15969341821289</v>
      </c>
      <c r="I7" s="24" t="n">
        <f aca="false">(1+Annahmen!$F$53)^7</f>
        <v>1.18868575366821</v>
      </c>
      <c r="J7" s="24" t="n">
        <f aca="false">(1+Annahmen!$F$53)^8</f>
        <v>1.21840289750992</v>
      </c>
      <c r="K7" s="24" t="n">
        <f aca="false">(1+Annahmen!$F$53)^9</f>
        <v>1.24886296994767</v>
      </c>
    </row>
    <row r="8" customFormat="false" ht="15" hidden="false" customHeight="false" outlineLevel="0" collapsed="false">
      <c r="A8" s="3" t="s">
        <v>338</v>
      </c>
      <c r="B8" s="24" t="n">
        <f aca="false">(1+Annahmen!$F$54)^0</f>
        <v>1</v>
      </c>
      <c r="C8" s="24" t="n">
        <f aca="false">(1+Annahmen!$F$54)^1</f>
        <v>1.03</v>
      </c>
      <c r="D8" s="24" t="n">
        <f aca="false">(1+Annahmen!$F$54)^2</f>
        <v>1.0609</v>
      </c>
      <c r="E8" s="24" t="n">
        <f aca="false">(1+Annahmen!$F$54)^3</f>
        <v>1.092727</v>
      </c>
      <c r="F8" s="24" t="n">
        <f aca="false">(1+Annahmen!$F$54)^4</f>
        <v>1.12550881</v>
      </c>
      <c r="G8" s="24" t="n">
        <f aca="false">(1+Annahmen!$F$54)^5</f>
        <v>1.1592740743</v>
      </c>
      <c r="H8" s="24" t="n">
        <f aca="false">(1+Annahmen!$F$54)^6</f>
        <v>1.194052296529</v>
      </c>
      <c r="I8" s="24" t="n">
        <f aca="false">(1+Annahmen!$F$54)^7</f>
        <v>1.22987386542487</v>
      </c>
      <c r="J8" s="24" t="n">
        <f aca="false">(1+Annahmen!$F$54)^8</f>
        <v>1.26677008138762</v>
      </c>
      <c r="K8" s="24" t="n">
        <f aca="false">(1+Annahmen!$F$54)^9</f>
        <v>1.30477318382925</v>
      </c>
    </row>
    <row r="9" customFormat="false" ht="15" hidden="false" customHeight="false" outlineLevel="0" collapsed="false">
      <c r="A9" s="3" t="s">
        <v>7</v>
      </c>
      <c r="B9" s="7" t="n">
        <f aca="false">Umsatz!F6*B6</f>
        <v>35340</v>
      </c>
      <c r="C9" s="7" t="n">
        <f aca="false">Umsatz!F6*C6</f>
        <v>42408</v>
      </c>
      <c r="D9" s="7" t="n">
        <f aca="false">Umsatz!F6*D6</f>
        <v>47120</v>
      </c>
      <c r="E9" s="7" t="n">
        <f aca="false">Umsatz!F6*E6</f>
        <v>47120</v>
      </c>
      <c r="F9" s="7" t="n">
        <f aca="false">Umsatz!F6*F6</f>
        <v>47120</v>
      </c>
      <c r="G9" s="7" t="n">
        <f aca="false">Umsatz!F6*G6</f>
        <v>47120</v>
      </c>
      <c r="H9" s="7" t="n">
        <f aca="false">Umsatz!F6*H6</f>
        <v>47120</v>
      </c>
      <c r="I9" s="7" t="n">
        <f aca="false">Umsatz!F6*I6</f>
        <v>47120</v>
      </c>
      <c r="J9" s="7" t="n">
        <f aca="false">Umsatz!F6*J6</f>
        <v>47120</v>
      </c>
      <c r="K9" s="7" t="n">
        <f aca="false">Umsatz!F6*K6</f>
        <v>47120</v>
      </c>
    </row>
    <row r="10" customFormat="false" ht="15" hidden="false" customHeight="false" outlineLevel="0" collapsed="false">
      <c r="A10" s="12" t="s">
        <v>10</v>
      </c>
      <c r="B10" s="31" t="n">
        <f aca="false">Umsatz!F16*B6*B7</f>
        <v>1450955.73566756</v>
      </c>
      <c r="C10" s="31" t="n">
        <f aca="false">Umsatz!F16*C6*C7</f>
        <v>1784675.5548711</v>
      </c>
      <c r="D10" s="31" t="n">
        <f aca="false">Umsatz!F16*D6*D7</f>
        <v>2032547.15971431</v>
      </c>
      <c r="E10" s="31" t="n">
        <f aca="false">Umsatz!F16*E6*E7</f>
        <v>2083360.83870717</v>
      </c>
      <c r="F10" s="31" t="n">
        <f aca="false">Umsatz!F16*F6*F7</f>
        <v>2135444.85967485</v>
      </c>
      <c r="G10" s="31" t="n">
        <f aca="false">Umsatz!F16*G6*G7</f>
        <v>2188830.98116672</v>
      </c>
      <c r="H10" s="31" t="n">
        <f aca="false">Umsatz!F16*H6*H7</f>
        <v>2243551.75569589</v>
      </c>
      <c r="I10" s="31" t="n">
        <f aca="false">Umsatz!F16*I6*I7</f>
        <v>2299640.54958829</v>
      </c>
      <c r="J10" s="31" t="n">
        <f aca="false">Umsatz!F16*J6*J7</f>
        <v>2357131.56332799</v>
      </c>
      <c r="K10" s="31" t="n">
        <f aca="false">Umsatz!F16*K6*K7</f>
        <v>2416059.85241119</v>
      </c>
    </row>
    <row r="11" customFormat="false" ht="15" hidden="false" customHeight="false" outlineLevel="0" collapsed="false">
      <c r="A11" s="3" t="s">
        <v>339</v>
      </c>
      <c r="B11" s="7" t="n">
        <f aca="false">(Betriebskosten!F4+Betriebskosten!F5+Betriebskosten!F9+Betriebskosten!F10+Betriebskosten!F11)*B6*B8</f>
        <v>305727.083270489</v>
      </c>
      <c r="C11" s="7" t="n">
        <f aca="false">(Betriebskosten!F4+Betriebskosten!F5+Betriebskosten!F9+Betriebskosten!F10+Betriebskosten!F11)*C6*C8</f>
        <v>377878.674922324</v>
      </c>
      <c r="D11" s="7" t="n">
        <f aca="false">(Betriebskosten!F4+Betriebskosten!F5+Betriebskosten!F9+Betriebskosten!F10+Betriebskosten!F11)*D6*D8</f>
        <v>432461.150188882</v>
      </c>
      <c r="E11" s="7" t="n">
        <f aca="false">(Betriebskosten!F4+Betriebskosten!F5+Betriebskosten!F9+Betriebskosten!F10+Betriebskosten!F11)*E6*E8</f>
        <v>445434.984694548</v>
      </c>
      <c r="F11" s="7" t="n">
        <f aca="false">(Betriebskosten!F4+Betriebskosten!F5+Betriebskosten!F9+Betriebskosten!F10+Betriebskosten!F11)*F6*F8</f>
        <v>458798.034235385</v>
      </c>
      <c r="G11" s="7" t="n">
        <f aca="false">(Betriebskosten!F4+Betriebskosten!F5+Betriebskosten!F9+Betriebskosten!F10+Betriebskosten!F11)*G6*G8</f>
        <v>472561.975262446</v>
      </c>
      <c r="H11" s="7" t="n">
        <f aca="false">(Betriebskosten!F4+Betriebskosten!F5+Betriebskosten!F9+Betriebskosten!F10+Betriebskosten!F11)*H6*H8</f>
        <v>486738.83452032</v>
      </c>
      <c r="I11" s="7" t="n">
        <f aca="false">(Betriebskosten!F4+Betriebskosten!F5+Betriebskosten!F9+Betriebskosten!F10+Betriebskosten!F11)*I6*I8</f>
        <v>501340.99955593</v>
      </c>
      <c r="J11" s="7" t="n">
        <f aca="false">(Betriebskosten!F4+Betriebskosten!F5+Betriebskosten!F9+Betriebskosten!F10+Betriebskosten!F11)*J6*J8</f>
        <v>516381.229542607</v>
      </c>
      <c r="K11" s="7" t="n">
        <f aca="false">(Betriebskosten!F4+Betriebskosten!F5+Betriebskosten!F9+Betriebskosten!F10+Betriebskosten!F11)*K6*K8</f>
        <v>531872.666428886</v>
      </c>
    </row>
    <row r="12" customFormat="false" ht="15" hidden="false" customHeight="false" outlineLevel="0" collapsed="false">
      <c r="A12" s="3" t="s">
        <v>320</v>
      </c>
      <c r="B12" s="7" t="n">
        <f aca="false">Betriebskosten!F22*B8</f>
        <v>1345000</v>
      </c>
      <c r="C12" s="7" t="n">
        <f aca="false">Betriebskosten!F22*C8</f>
        <v>1385350</v>
      </c>
      <c r="D12" s="7" t="n">
        <f aca="false">Betriebskosten!F22*D8</f>
        <v>1426910.5</v>
      </c>
      <c r="E12" s="7" t="n">
        <f aca="false">Betriebskosten!F22*E8</f>
        <v>1469717.815</v>
      </c>
      <c r="F12" s="7" t="n">
        <f aca="false">Betriebskosten!F22*F8</f>
        <v>1513809.34945</v>
      </c>
      <c r="G12" s="7" t="n">
        <f aca="false">Betriebskosten!F22*G8</f>
        <v>1559223.6299335</v>
      </c>
      <c r="H12" s="7" t="n">
        <f aca="false">Betriebskosten!F22*H8</f>
        <v>1606000.33883151</v>
      </c>
      <c r="I12" s="7" t="n">
        <f aca="false">Betriebskosten!F22*I8</f>
        <v>1654180.34899645</v>
      </c>
      <c r="J12" s="7" t="n">
        <f aca="false">Betriebskosten!F22*J8</f>
        <v>1703805.75946634</v>
      </c>
      <c r="K12" s="7" t="n">
        <f aca="false">Betriebskosten!F22*K8</f>
        <v>1754919.93225033</v>
      </c>
    </row>
    <row r="13" customFormat="false" ht="15" hidden="false" customHeight="false" outlineLevel="0" collapsed="false">
      <c r="A13" s="3" t="s">
        <v>340</v>
      </c>
      <c r="B13" s="7" t="n">
        <f aca="false">B10-B11-B12</f>
        <v>-199771.347602924</v>
      </c>
      <c r="C13" s="7" t="n">
        <f aca="false">C10-C11-C12</f>
        <v>21446.8799487804</v>
      </c>
      <c r="D13" s="7" t="n">
        <f aca="false">D10-D11-D12</f>
        <v>173175.509525432</v>
      </c>
      <c r="E13" s="7" t="n">
        <f aca="false">E10-E11-E12</f>
        <v>168208.039012622</v>
      </c>
      <c r="F13" s="7" t="n">
        <f aca="false">F10-F11-F12</f>
        <v>162837.475989464</v>
      </c>
      <c r="G13" s="7" t="n">
        <f aca="false">G10-G11-G12</f>
        <v>157045.375970774</v>
      </c>
      <c r="H13" s="7" t="n">
        <f aca="false">H10-H11-H12</f>
        <v>150812.582344064</v>
      </c>
      <c r="I13" s="7" t="n">
        <f aca="false">I10-I11-I12</f>
        <v>144119.201035906</v>
      </c>
      <c r="J13" s="7" t="n">
        <f aca="false">J10-J11-J12</f>
        <v>136944.574319041</v>
      </c>
      <c r="K13" s="7" t="n">
        <f aca="false">K10-K11-K12</f>
        <v>129267.253731972</v>
      </c>
    </row>
    <row r="14" customFormat="false" ht="15" hidden="false" customHeight="false" outlineLevel="0" collapsed="false">
      <c r="A14" s="3" t="s">
        <v>341</v>
      </c>
      <c r="B14" s="7" t="n">
        <f aca="false">MAX(Annahmen!$F$42*B8,Annahmen!$F$41*B10)</f>
        <v>150000</v>
      </c>
      <c r="C14" s="7" t="n">
        <f aca="false">MAX(Annahmen!$F$42*C8,Annahmen!$F$41*C10)</f>
        <v>178467.55548711</v>
      </c>
      <c r="D14" s="7" t="n">
        <f aca="false">MAX(Annahmen!$F$42*D8,Annahmen!$F$41*D10)</f>
        <v>203254.715971431</v>
      </c>
      <c r="E14" s="7" t="n">
        <f aca="false">MAX(Annahmen!$F$42*E8,Annahmen!$F$41*E10)</f>
        <v>208336.083870717</v>
      </c>
      <c r="F14" s="7" t="n">
        <f aca="false">MAX(Annahmen!$F$42*F8,Annahmen!$F$41*F10)</f>
        <v>213544.485967485</v>
      </c>
      <c r="G14" s="7" t="n">
        <f aca="false">MAX(Annahmen!$F$42*G8,Annahmen!$F$41*G10)</f>
        <v>218883.098116672</v>
      </c>
      <c r="H14" s="7" t="n">
        <f aca="false">MAX(Annahmen!$F$42*H8,Annahmen!$F$41*H10)</f>
        <v>224355.175569589</v>
      </c>
      <c r="I14" s="7" t="n">
        <f aca="false">MAX(Annahmen!$F$42*I8,Annahmen!$F$41*I10)</f>
        <v>229964.054958829</v>
      </c>
      <c r="J14" s="7" t="n">
        <f aca="false">MAX(Annahmen!$F$42*J8,Annahmen!$F$41*J10)</f>
        <v>235713.156332799</v>
      </c>
      <c r="K14" s="7" t="n">
        <f aca="false">MAX(Annahmen!$F$42*K8,Annahmen!$F$41*K10)</f>
        <v>241605.985241119</v>
      </c>
    </row>
    <row r="15" customFormat="false" ht="15" hidden="false" customHeight="false" outlineLevel="0" collapsed="false">
      <c r="A15" s="12" t="s">
        <v>15</v>
      </c>
      <c r="B15" s="31" t="n">
        <f aca="false">B13-B14</f>
        <v>-349771.347602924</v>
      </c>
      <c r="C15" s="31" t="n">
        <f aca="false">C13-C14</f>
        <v>-157020.67553833</v>
      </c>
      <c r="D15" s="31" t="n">
        <f aca="false">D13-D14</f>
        <v>-30079.2064459998</v>
      </c>
      <c r="E15" s="31" t="n">
        <f aca="false">E13-E14</f>
        <v>-40128.0448580948</v>
      </c>
      <c r="F15" s="31" t="n">
        <f aca="false">F13-F14</f>
        <v>-50707.0099780205</v>
      </c>
      <c r="G15" s="31" t="n">
        <f aca="false">G13-G14</f>
        <v>-61837.7221458978</v>
      </c>
      <c r="H15" s="31" t="n">
        <f aca="false">H13-H14</f>
        <v>-73542.5932255253</v>
      </c>
      <c r="I15" s="31" t="n">
        <f aca="false">I13-I14</f>
        <v>-85844.8539229228</v>
      </c>
      <c r="J15" s="31" t="n">
        <f aca="false">J13-J14</f>
        <v>-98768.5820137584</v>
      </c>
      <c r="K15" s="31" t="n">
        <f aca="false">K13-K14</f>
        <v>-112338.731509147</v>
      </c>
    </row>
    <row r="16" customFormat="false" ht="15" hidden="false" customHeight="false" outlineLevel="0" collapsed="false">
      <c r="A16" s="3" t="s">
        <v>342</v>
      </c>
      <c r="B16" s="7" t="n">
        <f aca="false">B15</f>
        <v>-349771.347602924</v>
      </c>
      <c r="C16" s="7" t="n">
        <f aca="false">B16+C15</f>
        <v>-506792.023141254</v>
      </c>
      <c r="D16" s="7" t="n">
        <f aca="false">C16+D15</f>
        <v>-536871.229587254</v>
      </c>
      <c r="E16" s="7" t="n">
        <f aca="false">D16+E15</f>
        <v>-576999.274445349</v>
      </c>
      <c r="F16" s="7" t="n">
        <f aca="false">E16+F15</f>
        <v>-627706.284423369</v>
      </c>
      <c r="G16" s="7" t="n">
        <f aca="false">F16+G15</f>
        <v>-689544.006569267</v>
      </c>
      <c r="H16" s="7" t="n">
        <f aca="false">G16+H15</f>
        <v>-763086.599794792</v>
      </c>
      <c r="I16" s="7" t="n">
        <f aca="false">H16+I15</f>
        <v>-848931.453717715</v>
      </c>
      <c r="J16" s="7" t="n">
        <f aca="false">I16+J15</f>
        <v>-947700.035731474</v>
      </c>
      <c r="K16" s="7" t="n">
        <f aca="false">J16+K15</f>
        <v>-1060038.76724062</v>
      </c>
    </row>
    <row r="17" customFormat="false" ht="15" hidden="false" customHeight="false" outlineLevel="0" collapsed="false">
      <c r="A17" s="12" t="s">
        <v>131</v>
      </c>
    </row>
    <row r="18" customFormat="false" ht="15" hidden="false" customHeight="false" outlineLevel="0" collapsed="false">
      <c r="A18" s="3" t="s">
        <v>343</v>
      </c>
      <c r="B18" s="7" t="n">
        <f aca="false">B14</f>
        <v>150000</v>
      </c>
      <c r="C18" s="7" t="n">
        <f aca="false">C14</f>
        <v>178467.55548711</v>
      </c>
      <c r="D18" s="7" t="n">
        <f aca="false">D14</f>
        <v>203254.715971431</v>
      </c>
      <c r="E18" s="7" t="n">
        <f aca="false">E14</f>
        <v>208336.083870717</v>
      </c>
      <c r="F18" s="7" t="n">
        <f aca="false">F14</f>
        <v>213544.485967485</v>
      </c>
      <c r="G18" s="7" t="n">
        <f aca="false">G14</f>
        <v>218883.098116672</v>
      </c>
      <c r="H18" s="7" t="n">
        <f aca="false">H14</f>
        <v>224355.175569589</v>
      </c>
      <c r="I18" s="7" t="n">
        <f aca="false">I14</f>
        <v>229964.054958829</v>
      </c>
      <c r="J18" s="7" t="n">
        <f aca="false">J14</f>
        <v>235713.156332799</v>
      </c>
      <c r="K18" s="7" t="n">
        <f aca="false">K14</f>
        <v>241605.985241119</v>
      </c>
    </row>
    <row r="19" customFormat="false" ht="15" hidden="false" customHeight="false" outlineLevel="0" collapsed="false">
      <c r="A19" s="3" t="s">
        <v>344</v>
      </c>
      <c r="B19" s="7" t="n">
        <f aca="false">-Investition!$F$49*Annahmen!$F$45*B8</f>
        <v>-54904</v>
      </c>
      <c r="C19" s="7" t="n">
        <f aca="false">-Investition!$F$49*Annahmen!$F$45*C8</f>
        <v>-56551.12</v>
      </c>
      <c r="D19" s="7" t="n">
        <f aca="false">-Investition!$F$49*Annahmen!$F$45*D8</f>
        <v>-58247.6536</v>
      </c>
      <c r="E19" s="7" t="n">
        <f aca="false">-Investition!$F$49*Annahmen!$F$45*E8</f>
        <v>-59995.083208</v>
      </c>
      <c r="F19" s="7" t="n">
        <f aca="false">-Investition!$F$49*Annahmen!$F$45*F8</f>
        <v>-61794.93570424</v>
      </c>
      <c r="G19" s="7" t="n">
        <f aca="false">-Investition!$F$49*Annahmen!$F$45*G8</f>
        <v>-63648.7837753672</v>
      </c>
      <c r="H19" s="7" t="n">
        <f aca="false">-Investition!$F$49*Annahmen!$F$45*H8</f>
        <v>-65558.2472886282</v>
      </c>
      <c r="I19" s="7" t="n">
        <f aca="false">-Investition!$F$49*Annahmen!$F$45*I8</f>
        <v>-67524.9947072871</v>
      </c>
      <c r="J19" s="7" t="n">
        <f aca="false">-Investition!$F$49*Annahmen!$F$45*J8</f>
        <v>-69550.7445485057</v>
      </c>
      <c r="K19" s="7" t="n">
        <f aca="false">-Investition!$F$49*Annahmen!$F$45*K8</f>
        <v>-71637.2668849609</v>
      </c>
    </row>
    <row r="20" customFormat="false" ht="15" hidden="false" customHeight="false" outlineLevel="0" collapsed="false">
      <c r="A20" s="3" t="s">
        <v>345</v>
      </c>
      <c r="B20" s="7" t="n">
        <f aca="false">-Annahmen!$F$46*B8</f>
        <v>-25000</v>
      </c>
      <c r="C20" s="7" t="n">
        <f aca="false">-Annahmen!$F$46*C8</f>
        <v>-25750</v>
      </c>
      <c r="D20" s="7" t="n">
        <f aca="false">-Annahmen!$F$46*D8</f>
        <v>-26522.5</v>
      </c>
      <c r="E20" s="7" t="n">
        <f aca="false">-Annahmen!$F$46*E8</f>
        <v>-27318.175</v>
      </c>
      <c r="F20" s="7" t="n">
        <f aca="false">-Annahmen!$F$46*F8</f>
        <v>-28137.72025</v>
      </c>
      <c r="G20" s="7" t="n">
        <f aca="false">-Annahmen!$F$46*G8</f>
        <v>-28981.8518575</v>
      </c>
      <c r="H20" s="7" t="n">
        <f aca="false">-Annahmen!$F$46*H8</f>
        <v>-29851.307413225</v>
      </c>
      <c r="I20" s="7" t="n">
        <f aca="false">-Annahmen!$F$46*I8</f>
        <v>-30746.8466356218</v>
      </c>
      <c r="J20" s="7" t="n">
        <f aca="false">-Annahmen!$F$46*J8</f>
        <v>-31669.2520346904</v>
      </c>
      <c r="K20" s="7" t="n">
        <f aca="false">-Annahmen!$F$46*K8</f>
        <v>-32619.3295957311</v>
      </c>
    </row>
    <row r="21" customFormat="false" ht="15" hidden="false" customHeight="false" outlineLevel="0" collapsed="false">
      <c r="A21" s="12" t="s">
        <v>346</v>
      </c>
      <c r="B21" s="31" t="n">
        <f aca="false">SUM(B18:B20)</f>
        <v>70096</v>
      </c>
      <c r="C21" s="31" t="n">
        <f aca="false">SUM(C18:C20)</f>
        <v>96166.4354871105</v>
      </c>
      <c r="D21" s="31" t="n">
        <f aca="false">SUM(D18:D20)</f>
        <v>118484.562371431</v>
      </c>
      <c r="E21" s="31" t="n">
        <f aca="false">SUM(E18:E20)</f>
        <v>121022.825662717</v>
      </c>
      <c r="F21" s="31" t="n">
        <f aca="false">SUM(F18:F20)</f>
        <v>123611.830013245</v>
      </c>
      <c r="G21" s="31" t="n">
        <f aca="false">SUM(G18:G20)</f>
        <v>126252.462483805</v>
      </c>
      <c r="H21" s="31" t="n">
        <f aca="false">SUM(H18:H20)</f>
        <v>128945.620867736</v>
      </c>
      <c r="I21" s="31" t="n">
        <f aca="false">SUM(I18:I20)</f>
        <v>131692.21361592</v>
      </c>
      <c r="J21" s="31" t="n">
        <f aca="false">SUM(J18:J20)</f>
        <v>134493.159749603</v>
      </c>
      <c r="K21" s="31" t="n">
        <f aca="false">SUM(K18:K20)</f>
        <v>137349.388760427</v>
      </c>
    </row>
    <row r="22" customFormat="false" ht="15" hidden="false" customHeight="false" outlineLevel="0" collapsed="false">
      <c r="A22" s="3" t="s">
        <v>347</v>
      </c>
      <c r="B22" s="7" t="n">
        <f aca="false">B21</f>
        <v>70096</v>
      </c>
      <c r="C22" s="7" t="n">
        <f aca="false">B22+C21</f>
        <v>166262.43548711</v>
      </c>
      <c r="D22" s="7" t="n">
        <f aca="false">C22+D21</f>
        <v>284746.997858542</v>
      </c>
      <c r="E22" s="7" t="n">
        <f aca="false">D22+E21</f>
        <v>405769.823521259</v>
      </c>
      <c r="F22" s="7" t="n">
        <f aca="false">E22+F21</f>
        <v>529381.653534504</v>
      </c>
      <c r="G22" s="7" t="n">
        <f aca="false">F22+G21</f>
        <v>655634.116018309</v>
      </c>
      <c r="H22" s="7" t="n">
        <f aca="false">G22+H21</f>
        <v>784579.736886045</v>
      </c>
      <c r="I22" s="7" t="n">
        <f aca="false">H22+I21</f>
        <v>916271.950501964</v>
      </c>
      <c r="J22" s="7" t="n">
        <f aca="false">I22+J21</f>
        <v>1050765.11025157</v>
      </c>
      <c r="K22" s="7" t="n">
        <f aca="false">J22+K21</f>
        <v>1188114.49901199</v>
      </c>
    </row>
    <row r="23" customFormat="false" ht="15" hidden="false" customHeight="false" outlineLevel="0" collapsed="false">
      <c r="A23" s="3" t="s">
        <v>348</v>
      </c>
      <c r="B23" s="7" t="n">
        <f aca="false">Betriebskosten!F6*Annahmen!$F$48*Annahmen!$F$47*B8</f>
        <v>23712</v>
      </c>
      <c r="C23" s="7" t="n">
        <f aca="false">Betriebskosten!F6*Annahmen!$F$48*Annahmen!$F$47*C8</f>
        <v>24423.36</v>
      </c>
      <c r="D23" s="7" t="n">
        <f aca="false">Betriebskosten!F6*Annahmen!$F$48*Annahmen!$F$47*D8</f>
        <v>25156.0608</v>
      </c>
      <c r="E23" s="7" t="n">
        <f aca="false">Betriebskosten!F6*Annahmen!$F$48*Annahmen!$F$47*E8</f>
        <v>25910.742624</v>
      </c>
      <c r="F23" s="7" t="n">
        <f aca="false">Betriebskosten!F6*Annahmen!$F$48*Annahmen!$F$47*F8</f>
        <v>26688.06490272</v>
      </c>
      <c r="G23" s="7" t="n">
        <f aca="false">Betriebskosten!F6*Annahmen!$F$48*Annahmen!$F$47*G8</f>
        <v>27488.7068498016</v>
      </c>
      <c r="H23" s="7" t="n">
        <f aca="false">Betriebskosten!F6*Annahmen!$F$48*Annahmen!$F$47*H8</f>
        <v>28313.3680552957</v>
      </c>
      <c r="I23" s="7" t="n">
        <f aca="false">Betriebskosten!F6*Annahmen!$F$48*Annahmen!$F$47*I8</f>
        <v>29162.7690969545</v>
      </c>
      <c r="J23" s="7" t="n">
        <f aca="false">Betriebskosten!F6*Annahmen!$F$48*Annahmen!$F$47*J8</f>
        <v>30037.6521698632</v>
      </c>
      <c r="K23" s="7" t="n">
        <f aca="false">Betriebskosten!F6*Annahmen!$F$48*Annahmen!$F$47*K8</f>
        <v>30938.7817349591</v>
      </c>
    </row>
    <row r="25" customFormat="false" ht="15" hidden="false" customHeight="false" outlineLevel="0" collapsed="false">
      <c r="A25" s="12" t="s">
        <v>349</v>
      </c>
      <c r="B25" s="17" t="n">
        <f aca="false">SUM(B21:K21)</f>
        <v>1188114.49901199</v>
      </c>
    </row>
    <row r="26" customFormat="false" ht="15" hidden="false" customHeight="false" outlineLevel="0" collapsed="false">
      <c r="A26" s="3" t="s">
        <v>350</v>
      </c>
      <c r="B26" s="9" t="n">
        <f aca="false">B25/Investition!$F$58</f>
        <v>0.138843436602483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351</v>
      </c>
    </row>
    <row r="2" customFormat="false" ht="31.5" hidden="false" customHeight="true" outlineLevel="0" collapsed="false">
      <c r="A2" s="34" t="s">
        <v>352</v>
      </c>
      <c r="B2" s="34"/>
      <c r="C2" s="34"/>
      <c r="D2" s="34"/>
      <c r="E2" s="34"/>
      <c r="F2" s="34"/>
      <c r="G2" s="34"/>
      <c r="H2" s="34"/>
    </row>
    <row r="4" customFormat="false" ht="15" hidden="false" customHeight="false" outlineLevel="0" collapsed="false">
      <c r="A4" s="3" t="s">
        <v>353</v>
      </c>
      <c r="D4" s="4" t="n">
        <f aca="false">Investition!$F$58</f>
        <v>8557224.8</v>
      </c>
    </row>
    <row r="5" customFormat="false" ht="15" hidden="false" customHeight="false" outlineLevel="0" collapsed="false">
      <c r="A5" s="3" t="s">
        <v>354</v>
      </c>
      <c r="D5" s="27" t="n">
        <v>0.1</v>
      </c>
      <c r="E5" s="3" t="s">
        <v>355</v>
      </c>
    </row>
    <row r="6" customFormat="false" ht="15" hidden="false" customHeight="false" outlineLevel="0" collapsed="false">
      <c r="A6" s="3" t="s">
        <v>356</v>
      </c>
      <c r="D6" s="27" t="n">
        <v>0.15</v>
      </c>
      <c r="E6" s="3" t="s">
        <v>357</v>
      </c>
    </row>
    <row r="7" customFormat="false" ht="15" hidden="false" customHeight="false" outlineLevel="0" collapsed="false">
      <c r="A7" s="3" t="s">
        <v>358</v>
      </c>
      <c r="D7" s="27" t="n">
        <v>0.5</v>
      </c>
    </row>
    <row r="9" customFormat="false" ht="26.85" hidden="false" customHeight="false" outlineLevel="0" collapsed="false">
      <c r="A9" s="2" t="s">
        <v>359</v>
      </c>
      <c r="B9" s="2" t="s">
        <v>360</v>
      </c>
      <c r="C9" s="2" t="s">
        <v>361</v>
      </c>
      <c r="D9" s="2" t="s">
        <v>362</v>
      </c>
      <c r="E9" s="2" t="s">
        <v>363</v>
      </c>
      <c r="F9" s="2" t="s">
        <v>364</v>
      </c>
      <c r="G9" s="2" t="s">
        <v>365</v>
      </c>
      <c r="H9" s="2" t="s">
        <v>366</v>
      </c>
    </row>
    <row r="10" customFormat="false" ht="15" hidden="false" customHeight="false" outlineLevel="0" collapsed="false">
      <c r="A10" s="3" t="s">
        <v>367</v>
      </c>
      <c r="B10" s="19" t="n">
        <v>5700</v>
      </c>
      <c r="C10" s="19" t="n">
        <v>75000</v>
      </c>
      <c r="D10" s="35"/>
      <c r="E10" s="9" t="n">
        <f aca="false">(1-$D$5-$D$6)*($D$7*B10/$B$17+(1-$D$7)*C10/$C$17)+IF(D10="x",$D$6,0)</f>
        <v>0.184313933729822</v>
      </c>
      <c r="F10" s="7" t="n">
        <f aca="false">$D$4*E10</f>
        <v>1577215.76469839</v>
      </c>
      <c r="G10" s="7" t="n">
        <f aca="false">AVERAGE(GuV_10J!$B$21:$K$21)*E10/(1-$D$5)</f>
        <v>24331.7841149263</v>
      </c>
      <c r="H10" s="7" t="n">
        <f aca="false">F10/B10</f>
        <v>276.704520122524</v>
      </c>
    </row>
    <row r="11" customFormat="false" ht="15" hidden="false" customHeight="false" outlineLevel="0" collapsed="false">
      <c r="A11" s="3" t="s">
        <v>368</v>
      </c>
      <c r="B11" s="19" t="n">
        <v>3500</v>
      </c>
      <c r="C11" s="19" t="n">
        <v>45000</v>
      </c>
      <c r="D11" s="35"/>
      <c r="E11" s="9" t="n">
        <f aca="false">(1-$D$5-$D$6)*($D$7*B11/$B$17+(1-$D$7)*C11/$C$17)+IF(D11="x",$D$6,0)</f>
        <v>0.112457519116398</v>
      </c>
      <c r="F11" s="7" t="n">
        <f aca="false">$D$4*E11</f>
        <v>962324.271529312</v>
      </c>
      <c r="G11" s="7" t="n">
        <f aca="false">AVERAGE(GuV_10J!$B$21:$K$21)*E11/(1-$D$5)</f>
        <v>14845.8232205678</v>
      </c>
      <c r="H11" s="7" t="n">
        <f aca="false">F11/B11</f>
        <v>274.949791865518</v>
      </c>
    </row>
    <row r="12" customFormat="false" ht="15" hidden="false" customHeight="false" outlineLevel="0" collapsed="false">
      <c r="A12" s="3" t="s">
        <v>369</v>
      </c>
      <c r="B12" s="19" t="n">
        <v>1650</v>
      </c>
      <c r="C12" s="19" t="n">
        <v>120000</v>
      </c>
      <c r="D12" s="35" t="s">
        <v>370</v>
      </c>
      <c r="E12" s="9" t="n">
        <f aca="false">(1-$D$5-$D$6)*($D$7*B12/$B$17+(1-$D$7)*C12/$C$17)+IF(D12="x",$D$6,0)</f>
        <v>0.270369583687341</v>
      </c>
      <c r="F12" s="7" t="n">
        <f aca="false">$D$4*E12</f>
        <v>2313613.30669499</v>
      </c>
      <c r="G12" s="7" t="n">
        <f aca="false">AVERAGE(GuV_10J!$B$21:$K$21)*E12/(1-$D$5)</f>
        <v>35692.224718974</v>
      </c>
      <c r="H12" s="7" t="n">
        <f aca="false">F12/B12</f>
        <v>1402.18988284545</v>
      </c>
    </row>
    <row r="13" customFormat="false" ht="15" hidden="false" customHeight="false" outlineLevel="0" collapsed="false">
      <c r="A13" s="3" t="s">
        <v>371</v>
      </c>
      <c r="B13" s="19" t="n">
        <v>1600</v>
      </c>
      <c r="C13" s="19" t="n">
        <v>100000</v>
      </c>
      <c r="D13" s="35"/>
      <c r="E13" s="9" t="n">
        <f aca="false">(1-$D$5-$D$6)*($D$7*B13/$B$17+(1-$D$7)*C13/$C$17)+IF(D13="x",$D$6,0)</f>
        <v>0.105564995751912</v>
      </c>
      <c r="F13" s="7" t="n">
        <f aca="false">$D$4*E13</f>
        <v>903343.399660153</v>
      </c>
      <c r="G13" s="7" t="n">
        <f aca="false">AVERAGE(GuV_10J!$B$21:$K$21)*E13/(1-$D$5)</f>
        <v>13935.9224489984</v>
      </c>
      <c r="H13" s="7" t="n">
        <f aca="false">F13/B13</f>
        <v>564.589624787596</v>
      </c>
    </row>
    <row r="14" customFormat="false" ht="15" hidden="false" customHeight="false" outlineLevel="0" collapsed="false">
      <c r="A14" s="3" t="s">
        <v>372</v>
      </c>
      <c r="B14" s="19" t="n">
        <v>1550</v>
      </c>
      <c r="C14" s="19" t="n">
        <v>75000</v>
      </c>
      <c r="D14" s="35"/>
      <c r="E14" s="9" t="n">
        <f aca="false">(1-$D$5-$D$6)*($D$7*B14/$B$17+(1-$D$7)*C14/$C$17)+IF(D14="x",$D$6,0)</f>
        <v>0.0873513169073917</v>
      </c>
      <c r="F14" s="7" t="n">
        <f aca="false">$D$4*E14</f>
        <v>747484.855352591</v>
      </c>
      <c r="G14" s="7" t="n">
        <f aca="false">AVERAGE(GuV_10J!$B$21:$K$21)*E14/(1-$D$5)</f>
        <v>11531.4851250515</v>
      </c>
      <c r="H14" s="7" t="n">
        <f aca="false">F14/B14</f>
        <v>482.248293775865</v>
      </c>
    </row>
    <row r="15" customFormat="false" ht="15" hidden="false" customHeight="false" outlineLevel="0" collapsed="false">
      <c r="A15" s="3" t="s">
        <v>373</v>
      </c>
      <c r="B15" s="19" t="n">
        <v>1200</v>
      </c>
      <c r="C15" s="19" t="n">
        <v>70000</v>
      </c>
      <c r="D15" s="35"/>
      <c r="E15" s="9" t="n">
        <f aca="false">(1-$D$5-$D$6)*($D$7*B15/$B$17+(1-$D$7)*C15/$C$17)+IF(D15="x",$D$6,0)</f>
        <v>0.0757646559048428</v>
      </c>
      <c r="F15" s="7" t="n">
        <f aca="false">$D$4*E15</f>
        <v>648335.192472388</v>
      </c>
      <c r="G15" s="7" t="n">
        <f aca="false">AVERAGE(GuV_10J!$B$21:$K$21)*E15/(1-$D$5)</f>
        <v>10001.8984659109</v>
      </c>
      <c r="H15" s="7" t="n">
        <f aca="false">F15/B15</f>
        <v>540.279327060323</v>
      </c>
    </row>
    <row r="16" customFormat="false" ht="15" hidden="false" customHeight="false" outlineLevel="0" collapsed="false">
      <c r="A16" s="3" t="s">
        <v>374</v>
      </c>
      <c r="B16" s="19" t="n">
        <v>850</v>
      </c>
      <c r="C16" s="19" t="n">
        <v>65000</v>
      </c>
      <c r="D16" s="35"/>
      <c r="E16" s="9" t="n">
        <f aca="false">(1-$D$5-$D$6)*($D$7*B16/$B$17+(1-$D$7)*C16/$C$17)+IF(D16="x",$D$6,0)</f>
        <v>0.064177994902294</v>
      </c>
      <c r="F16" s="7" t="n">
        <f aca="false">$D$4*E16</f>
        <v>549185.529592184</v>
      </c>
      <c r="G16" s="7" t="n">
        <f aca="false">AVERAGE(GuV_10J!$B$21:$K$21)*E16/(1-$D$5)</f>
        <v>8472.31180677037</v>
      </c>
      <c r="H16" s="7" t="n">
        <f aca="false">F16/B16</f>
        <v>646.100623049628</v>
      </c>
    </row>
    <row r="17" customFormat="false" ht="15" hidden="false" customHeight="false" outlineLevel="0" collapsed="false">
      <c r="A17" s="12" t="s">
        <v>375</v>
      </c>
      <c r="B17" s="31" t="n">
        <f aca="false">SUM(B10:B16)</f>
        <v>16050</v>
      </c>
      <c r="C17" s="31" t="n">
        <f aca="false">SUM(C10:C16)</f>
        <v>550000</v>
      </c>
      <c r="E17" s="36" t="n">
        <f aca="false">SUM(E10:E16)</f>
        <v>0.9</v>
      </c>
      <c r="F17" s="31" t="n">
        <f aca="false">SUM(F10:F16)</f>
        <v>7701502.32</v>
      </c>
      <c r="G17" s="31" t="n">
        <f aca="false">SUM(G10:G16)</f>
        <v>118811.449901199</v>
      </c>
      <c r="H17" s="31" t="n">
        <f aca="false">F17/B17</f>
        <v>479.844381308411</v>
      </c>
    </row>
    <row r="18" customFormat="false" ht="15" hidden="false" customHeight="false" outlineLevel="0" collapsed="false">
      <c r="A18" s="3" t="s">
        <v>376</v>
      </c>
      <c r="E18" s="9" t="n">
        <f aca="false">D5</f>
        <v>0.1</v>
      </c>
      <c r="F18" s="7" t="n">
        <f aca="false">$D$4*E18</f>
        <v>855722.48</v>
      </c>
    </row>
    <row r="19" customFormat="false" ht="15" hidden="false" customHeight="false" outlineLevel="0" collapsed="false">
      <c r="A19" s="12" t="s">
        <v>377</v>
      </c>
      <c r="E19" s="21" t="n">
        <f aca="false">E17+E18</f>
        <v>1</v>
      </c>
      <c r="F19" s="17" t="n">
        <f aca="false">F17+F18</f>
        <v>8557224.8</v>
      </c>
      <c r="G19" s="12" t="str">
        <f aca="false">IF(ABS(F19-D4)&lt;1,"OK","FEHLER")</f>
        <v>OK</v>
      </c>
    </row>
    <row r="21" customFormat="false" ht="15" hidden="false" customHeight="false" outlineLevel="0" collapsed="false">
      <c r="A21" s="18" t="s">
        <v>378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2026-10-13T07:32:00Z</dcterms:created>
  <dc:creator>openpyxl</dc:creator>
  <dc:description/>
  <dc:language>en-US</dc:language>
  <cp:lastModifiedBy/>
  <dcterms:modified xsi:type="dcterms:W3CDTF">2026-10-13T07:32:00Z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